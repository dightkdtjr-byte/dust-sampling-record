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업무망\Downloads\"/>
    </mc:Choice>
  </mc:AlternateContent>
  <xr:revisionPtr revIDLastSave="0" documentId="13_ncr:1_{28020298-883F-48B1-B12C-5ABF2216E6BF}" xr6:coauthVersionLast="47" xr6:coauthVersionMax="47" xr10:uidLastSave="{00000000-0000-0000-0000-000000000000}"/>
  <bookViews>
    <workbookView xWindow="1605" yWindow="2400" windowWidth="16410" windowHeight="13185" tabRatio="747" firstSheet="4" activeTab="7" xr2:uid="{00000000-000D-0000-FFFF-FFFF00000000}"/>
  </bookViews>
  <sheets>
    <sheet name="표지" sheetId="15" r:id="rId1"/>
    <sheet name="누출시험" sheetId="16" r:id="rId2"/>
    <sheet name="수분량" sheetId="2" r:id="rId3"/>
    <sheet name="시료측정위치" sheetId="7" r:id="rId4"/>
    <sheet name="연소가스자료" sheetId="17" r:id="rId5"/>
    <sheet name="노즐산정" sheetId="1" r:id="rId6"/>
    <sheet name="기록지(수분량자동측정기)" sheetId="12" r:id="rId7"/>
    <sheet name="계산식" sheetId="14" r:id="rId8"/>
    <sheet name="먼지측정결과보고서" sheetId="11" r:id="rId9"/>
    <sheet name="지점 사진" sheetId="18" state="hidden" r:id="rId10"/>
  </sheets>
  <functionGroups builtInGroupCount="19"/>
  <externalReferences>
    <externalReference r:id="rId11"/>
  </externalReferences>
  <definedNames>
    <definedName name="△H">'기록지(수분량자동측정기)'!#REF!</definedName>
    <definedName name="△Hm">'기록지(수분량자동측정기)'!$C$10</definedName>
    <definedName name="△P">'기록지(수분량자동측정기)'!#REF!</definedName>
    <definedName name="A">'기록지(수분량자동측정기)'!$G$12</definedName>
    <definedName name="Analytical_Units_degF_degC" localSheetId="4">[1]측정총괄!#REF!,[1]측정총괄!$I$6,[1]측정총괄!$I$41</definedName>
    <definedName name="Analytical_Units_degF_degC">[1]측정총괄!#REF!,[1]측정총괄!$I$6,[1]측정총괄!$I$41</definedName>
    <definedName name="Base_Run_Number">#REF!</definedName>
    <definedName name="Bwm">[1]측정총괄!#REF!</definedName>
    <definedName name="Ca">계산식!$P$67</definedName>
    <definedName name="Circ_Stack?">#REF!</definedName>
    <definedName name="Circ_Units_in_m" localSheetId="4">[1]측정총괄!$F$8:$F$8,[1]측정총괄!$F$14,[1]측정총괄!#REF!,[1]측정총괄!$H$39,[1]측정총괄!$I$39</definedName>
    <definedName name="Circ_Units_in_m">[1]측정총괄!$F$8:$F$8,[1]측정총괄!$F$14,[1]측정총괄!#REF!,[1]측정총괄!$H$39,[1]측정총괄!$I$39</definedName>
    <definedName name="Ck" localSheetId="4">[1]측정총괄!#REF!</definedName>
    <definedName name="Ck">[1]측정총괄!#REF!</definedName>
    <definedName name="COO">'기록지(수분량자동측정기)'!$F$13</definedName>
    <definedName name="Cp" localSheetId="4">[1]측정총괄!$F$23</definedName>
    <definedName name="Cp">'기록지(수분량자동측정기)'!$J$5</definedName>
    <definedName name="D">시료측정위치!$B$38</definedName>
    <definedName name="Date">#REF!</definedName>
    <definedName name="DC">계산식!$M$74</definedName>
    <definedName name="Dh">#REF!</definedName>
    <definedName name="Dn">'기록지(수분량자동측정기)'!$J$11</definedName>
    <definedName name="Dw">#REF!</definedName>
    <definedName name="English_Units" localSheetId="4">연소가스자료!English_Units</definedName>
    <definedName name="English_Units">연소가스자료!English_Units</definedName>
    <definedName name="HTML_CodePage" hidden="1">949</definedName>
    <definedName name="HTML_Control" hidden="1">{"'Sheet1'!$A$5:$C$26"}</definedName>
    <definedName name="HTML_Description" hidden="1">""</definedName>
    <definedName name="HTML_Email" hidden="1">""</definedName>
    <definedName name="HTML_Header" hidden="1">"배출가스"</definedName>
    <definedName name="HTML_LastUpdate" hidden="1">"2000-05-02"</definedName>
    <definedName name="HTML_LineAfter" hidden="1">FALSE</definedName>
    <definedName name="HTML_LineBefore" hidden="1">FALSE</definedName>
    <definedName name="HTML_Name" hidden="1">"중앙검사소"</definedName>
    <definedName name="HTML_OBDlg2" hidden="1">TRUE</definedName>
    <definedName name="HTML_OBDlg4" hidden="1">TRUE</definedName>
    <definedName name="HTML_OS" hidden="1">0</definedName>
    <definedName name="HTML_PathFile" hidden="1">"C:\일\#80울산소각장\MyHTML2.htm"</definedName>
    <definedName name="HTML_Title" hidden="1">"분석결과"</definedName>
    <definedName name="I">'기록지(수분량자동측정기)'!$C$13</definedName>
    <definedName name="Impinger_Case_ID">#REF!</definedName>
    <definedName name="isoCALC_Help" localSheetId="4">연소가스자료!isoCALC_Help</definedName>
    <definedName name="isoCALC_Help">연소가스자료!isoCALC_Help</definedName>
    <definedName name="Kp" localSheetId="4">[1]측정총괄!#REF!</definedName>
    <definedName name="Kp">[1]측정총괄!#REF!</definedName>
    <definedName name="Liner_Material">#REF!</definedName>
    <definedName name="m">계산식!$S$78</definedName>
    <definedName name="M2_Units_ftsec_msec" localSheetId="4">[1]측정총괄!#REF!,[1]측정총괄!$F$26</definedName>
    <definedName name="M2_Units_ftsec_msec">[1]측정총괄!#REF!,[1]측정총괄!$F$26</definedName>
    <definedName name="M2_Units_inH2O_mmH2O" localSheetId="4">[1]측정총괄!$F$14,[1]측정총괄!#REF!</definedName>
    <definedName name="M2_Units_inH2O_mmH2O">[1]측정총괄!$F$14,[1]측정총괄!#REF!</definedName>
    <definedName name="M2_Units_inHg_mmHg" localSheetId="4">[1]측정총괄!#REF!,[1]측정총괄!#REF!</definedName>
    <definedName name="M2_Units_inHg_mmHg">[1]측정총괄!#REF!,[1]측정총괄!#REF!</definedName>
    <definedName name="M3_Units_lblbmole_ggmole" localSheetId="4">[1]측정총괄!$I$21:$L$21,[1]측정총괄!$I$3:$J$3,[1]측정총괄!#REF!</definedName>
    <definedName name="M3_Units_lblbmole_ggmole">[1]측정총괄!$I$21:$L$21,[1]측정총괄!$I$3:$J$3,[1]측정총괄!#REF!</definedName>
    <definedName name="M4_Units_dcf_dcm" localSheetId="4">[1]측정총괄!#REF!,[1]측정총괄!$E$24,[1]측정총괄!$F$9</definedName>
    <definedName name="M4_Units_dcf_dcm">[1]측정총괄!#REF!,[1]측정총괄!$E$24,[1]측정총괄!$F$9</definedName>
    <definedName name="M4_Units_degF_degC" localSheetId="4">[1]측정총괄!$F$10:$F$11,[1]측정총괄!$E$25:$E$26,[1]측정총괄!#REF!</definedName>
    <definedName name="M4_Units_degF_degC">[1]측정총괄!$F$10:$F$11,[1]측정총괄!$E$25:$E$26,[1]측정총괄!#REF!</definedName>
    <definedName name="M4_Units_dscf_dscm" localSheetId="4">[1]측정총괄!$E$19,[1]측정총괄!$E$35,[1]측정총괄!$E$47</definedName>
    <definedName name="M4_Units_dscf_dscm">[1]측정총괄!$E$19,[1]측정총괄!$E$35,[1]측정총괄!$E$47</definedName>
    <definedName name="M4_Units_inH2O_mmH2O" localSheetId="4">[1]측정총괄!#REF!,[1]측정총괄!$J$3:$J$5,[1]측정총괄!#REF!</definedName>
    <definedName name="M4_Units_inH2O_mmH2O">[1]측정총괄!#REF!,[1]측정총괄!$J$3:$J$5,[1]측정총괄!#REF!</definedName>
    <definedName name="M4_Units_inHg_mmHg" localSheetId="4">[1]측정총괄!#REF!,[1]측정총괄!#REF!,[1]측정총괄!$J$39</definedName>
    <definedName name="M4_Units_inHg_mmHg">[1]측정총괄!#REF!,[1]측정총괄!#REF!,[1]측정총괄!$J$39</definedName>
    <definedName name="M4_Units_scf_scm" localSheetId="4">[1]측정총괄!$J$47,[1]측정총괄!$J$48,[1]측정총괄!#REF!,[1]측정총괄!#REF!,[1]측정총괄!#REF!,[1]측정총괄!$J$17</definedName>
    <definedName name="M4_Units_scf_scm">[1]측정총괄!$J$47,[1]측정총괄!$J$48,[1]측정총괄!#REF!,[1]측정총괄!#REF!,[1]측정총괄!#REF!,[1]측정총괄!$J$17</definedName>
    <definedName name="M5R1_Bws">#REF!</definedName>
    <definedName name="M5R1_Cp">#REF!</definedName>
    <definedName name="M5R1_DHat">#REF!</definedName>
    <definedName name="M5R1_Dna">#REF!</definedName>
    <definedName name="M5R1_DPavgest">#REF!</definedName>
    <definedName name="M5R1_K">#REF!</definedName>
    <definedName name="M5R1_Max_Vacuum">[1]측정자료!$M$79</definedName>
    <definedName name="M5R1_Mds">#REF!</definedName>
    <definedName name="M5R1_Pb">#REF!</definedName>
    <definedName name="M5R1_Pm">#REF!</definedName>
    <definedName name="M5R1_Ps">#REF!</definedName>
    <definedName name="M5R1_Pstatic">#REF!</definedName>
    <definedName name="M5R1_Qm">#REF!</definedName>
    <definedName name="M5R1_Run_Start_Time" localSheetId="4">[1]측정자료!#REF!</definedName>
    <definedName name="M5R1_Run_Start_Time">[1]측정자료!#REF!</definedName>
    <definedName name="M5R1_tm">#REF!</definedName>
    <definedName name="M5R1_tmiavg">[1]측정자료!$L$80</definedName>
    <definedName name="M5R1_Traverse_Pt_Label" localSheetId="4">[1]측정자료!#REF!</definedName>
    <definedName name="M5R1_Traverse_Pt_Label">[1]측정자료!#REF!</definedName>
    <definedName name="M5R1_ts">#REF!</definedName>
    <definedName name="M5R1_Units_degF_degC" localSheetId="4">[1]측정총괄!$F$8:$F$8,[1]측정총괄!$I$25:$K$25</definedName>
    <definedName name="M5R1_Units_degF_degC">[1]측정총괄!$F$8:$F$8,[1]측정총괄!$I$25:$K$25</definedName>
    <definedName name="M5R1_Units_inH2O_mmH2O" localSheetId="4">[1]측정총괄!#REF!,[1]측정총괄!#REF!,[1]측정총괄!$E$25:$F$25,[1]측정총괄!$G$25</definedName>
    <definedName name="M5R1_Units_inH2O_mmH2O">[1]측정총괄!#REF!,[1]측정총괄!#REF!,[1]측정총괄!$E$25:$F$25,[1]측정총괄!$G$25</definedName>
    <definedName name="M5R1_Units_inHg_mmHg" localSheetId="4">[1]측정총괄!#REF!,[1]측정총괄!$F$18:$F$19,[1]측정총괄!$M$3,[1]측정총괄!$M$17:$M$17</definedName>
    <definedName name="M5R1_Units_inHg_mmHg">[1]측정총괄!#REF!,[1]측정총괄!$F$18:$F$19,[1]측정총괄!$M$3,[1]측정총괄!$M$17:$M$17</definedName>
    <definedName name="M5R1_Vmi" localSheetId="4">[1]측정자료!#REF!</definedName>
    <definedName name="M5R1_Vmi">[1]측정자료!#REF!</definedName>
    <definedName name="M5R1_Y">#REF!</definedName>
    <definedName name="M5R2_Units_degF_degC" localSheetId="4">[1]측정총괄!$F$8:$F$8,[1]측정총괄!$I$25:$K$25</definedName>
    <definedName name="M5R2_Units_degF_degC">[1]측정총괄!$F$8:$F$8,[1]측정총괄!$I$25:$K$25</definedName>
    <definedName name="M5R2_Units_inH2O_mmH2O" localSheetId="4">[1]측정총괄!#REF!,[1]측정총괄!#REF!,[1]측정총괄!$E$25:$F$25,[1]측정총괄!$G$25</definedName>
    <definedName name="M5R2_Units_inH2O_mmH2O">[1]측정총괄!#REF!,[1]측정총괄!#REF!,[1]측정총괄!$E$25:$F$25,[1]측정총괄!$G$25</definedName>
    <definedName name="M5R2_Units_inHg_mmHg" localSheetId="4">[1]측정총괄!#REF!,[1]측정총괄!$F$18:$F$19,[1]측정총괄!$M$3,[1]측정총괄!$M$17:$M$17</definedName>
    <definedName name="M5R2_Units_inHg_mmHg">[1]측정총괄!#REF!,[1]측정총괄!$F$18:$F$19,[1]측정총괄!$M$3,[1]측정총괄!$M$17:$M$17</definedName>
    <definedName name="M5R3_Units_degF_degC" localSheetId="4">[1]측정총괄!$F$8:$F$8,[1]측정총괄!$I$25:$K$25</definedName>
    <definedName name="M5R3_Units_degF_degC">[1]측정총괄!$F$8:$F$8,[1]측정총괄!$I$25:$K$25</definedName>
    <definedName name="M5R3_Units_inH2O_mmH2O" localSheetId="4">[1]측정총괄!#REF!,[1]측정총괄!#REF!,[1]측정총괄!$E$25:$F$25,[1]측정총괄!$G$25</definedName>
    <definedName name="M5R3_Units_inH2O_mmH2O">[1]측정총괄!#REF!,[1]측정총괄!#REF!,[1]측정총괄!$E$25:$F$25,[1]측정총괄!$G$25</definedName>
    <definedName name="M5R3_Units_inHg_mmHg" localSheetId="4">[1]측정총괄!#REF!,[1]측정총괄!$F$18:$F$19,[1]측정총괄!$M$3,[1]측정총괄!$M$17:$M$17</definedName>
    <definedName name="M5R3_Units_inHg_mmHg">[1]측정총괄!#REF!,[1]측정총괄!$F$18:$F$19,[1]측정총괄!$M$3,[1]측정총괄!$M$17:$M$17</definedName>
    <definedName name="ma">'기록지(수분량자동측정기)'!#REF!</definedName>
    <definedName name="Meter_Cal_Factor">#REF!</definedName>
    <definedName name="Meter_ID">#REF!</definedName>
    <definedName name="Method5_Run1_Help" localSheetId="4">연소가스자료!Method5_Run1_Help</definedName>
    <definedName name="Method5_Run1_Help">연소가스자료!Method5_Run1_Help</definedName>
    <definedName name="Metric_Units" localSheetId="4">연소가스자료!Metric_Units</definedName>
    <definedName name="Metric_Units">연소가스자료!Metric_Units</definedName>
    <definedName name="Nozzle_Diam">#REF!</definedName>
    <definedName name="Nozzle_ID">#REF!</definedName>
    <definedName name="Num_Ports_Available" localSheetId="4">[1]측정총괄!#REF!</definedName>
    <definedName name="Num_Ports_Available">[1]측정총괄!#REF!</definedName>
    <definedName name="Num_Ports_Used" localSheetId="4">[1]측정총괄!#REF!</definedName>
    <definedName name="Num_Ports_Used">[1]측정총괄!#REF!</definedName>
    <definedName name="O">#REF!</definedName>
    <definedName name="Oa">'기록지(수분량자동측정기)'!$C$11</definedName>
    <definedName name="Operator">#REF!</definedName>
    <definedName name="Orifice_Coefficient_dHat">#REF!</definedName>
    <definedName name="Os">'기록지(수분량자동측정기)'!$B$14</definedName>
    <definedName name="Pa">'기록지(수분량자동측정기)'!$J$7</definedName>
    <definedName name="Pas">'기록지(수분량자동측정기)'!$J$8</definedName>
    <definedName name="Pitot_Coefficient">#REF!</definedName>
    <definedName name="Plant_Name">#REF!</definedName>
    <definedName name="Pm">'기록지(수분량자동측정기)'!#REF!</definedName>
    <definedName name="Print_All_DataSheets" localSheetId="4">연소가스자료!Print_All_DataSheets</definedName>
    <definedName name="Print_All_DataSheets">연소가스자료!Print_All_DataSheets</definedName>
    <definedName name="_xlnm.Print_Area" localSheetId="7">계산식!$A$1:$W$81</definedName>
    <definedName name="_xlnm.Print_Area" localSheetId="6">'기록지(수분량자동측정기)'!$A$1:$K$35</definedName>
    <definedName name="_xlnm.Print_Area" localSheetId="5">노즐산정!$A$1:$K$59</definedName>
    <definedName name="_xlnm.Print_Area" localSheetId="1">누출시험!$A$1:$E$18</definedName>
    <definedName name="_xlnm.Print_Area" localSheetId="3">시료측정위치!$A$1:$I$51</definedName>
    <definedName name="_xlnm.Print_Area" localSheetId="4">연소가스자료!$A$1:$F$42</definedName>
    <definedName name="_xlnm.Print_Area" localSheetId="0">표지!$A$1:$H$49</definedName>
    <definedName name="_xlnm.Print_Titles" localSheetId="4">연소가스자료!$4:$4</definedName>
    <definedName name="Print_WorkSheet" localSheetId="4">연소가스자료!Print_WorkSheet</definedName>
    <definedName name="Print_WorkSheet">연소가스자료!Print_WorkSheet</definedName>
    <definedName name="Probe_ID">#REF!</definedName>
    <definedName name="Probe_Length">#REF!</definedName>
    <definedName name="Project_Num">#REF!</definedName>
    <definedName name="Ps">'기록지(수분량자동측정기)'!$J$12</definedName>
    <definedName name="Q">계산식!$M$77</definedName>
    <definedName name="Qa">계산식!$T$58</definedName>
    <definedName name="Rect_Points_Across">[1]측정총괄!#REF!</definedName>
    <definedName name="Rect_Stack?">#REF!</definedName>
    <definedName name="Rect_Units_in_m" localSheetId="4">[1]측정총괄!$F$8:$F$11,[1]측정총괄!#REF!,[1]측정총괄!#REF!,[1]측정총괄!#REF!,[1]측정총괄!#REF!</definedName>
    <definedName name="Rect_Units_in_m">[1]측정총괄!$F$8:$F$11,[1]측정총괄!#REF!,[1]측정총괄!#REF!,[1]측정총괄!#REF!,[1]측정총괄!#REF!</definedName>
    <definedName name="Rect_Width_Far_Wall" localSheetId="4">[1]측정총괄!#REF!</definedName>
    <definedName name="Rect_Width_Far_Wall">[1]측정총괄!#REF!</definedName>
    <definedName name="Rect_Width_Near_Wall" localSheetId="4">[1]측정총괄!#REF!</definedName>
    <definedName name="Rect_Width_Near_Wall">[1]측정총괄!#REF!</definedName>
    <definedName name="Results_Units_inH2O_mmH2O" localSheetId="4">[1]측정총괄!$I$23,[1]측정총괄!#REF!</definedName>
    <definedName name="Results_Units_inH2O_mmH2O">[1]측정총괄!$I$23,[1]측정총괄!#REF!</definedName>
    <definedName name="Results_Units_inHg_mmHg" localSheetId="4">[1]측정총괄!$I$17,[1]측정총괄!$I$24,[1]측정총괄!#REF!</definedName>
    <definedName name="Results_Units_inHg_mmHg">[1]측정총괄!$I$17,[1]측정총괄!$I$24,[1]측정총괄!#REF!</definedName>
    <definedName name="rr">계산식!$K$19</definedName>
    <definedName name="Sample_Case_ID">#REF!</definedName>
    <definedName name="Sampling_Location">#REF!</definedName>
    <definedName name="Set_Black_White_Printing" localSheetId="4">연소가스자료!Set_Black_White_Printing</definedName>
    <definedName name="Set_Black_White_Printing">연소가스자료!Set_Black_White_Printing</definedName>
    <definedName name="Set_Color_Printing" localSheetId="4">연소가스자료!Set_Color_Printing</definedName>
    <definedName name="Set_Color_Printing">연소가스자료!Set_Color_Printing</definedName>
    <definedName name="ShowPic">CHOOSE(시료측정위치!$H$39,지점1,지점2,지점3,지점4,지점5)</definedName>
    <definedName name="SKSMS" localSheetId="4">연소가스자료!English_Units</definedName>
    <definedName name="SKSMS">[0]!English_Units</definedName>
    <definedName name="t">'기록지(수분량자동측정기)'!#REF!</definedName>
    <definedName name="Title_Circ_Stack_Box_Click" localSheetId="4">연소가스자료!Title_Circ_Stack_Box_Click</definedName>
    <definedName name="Title_Circ_Stack_Box_Click">연소가스자료!Title_Circ_Stack_Box_Click</definedName>
    <definedName name="Title_Rect_Stack_Box_Click" localSheetId="4">연소가스자료!Title_Rect_Stack_Box_Click</definedName>
    <definedName name="Title_Rect_Stack_Box_Click">연소가스자료!Title_Rect_Stack_Box_Click</definedName>
    <definedName name="Tm">'기록지(수분량자동측정기)'!#REF!</definedName>
    <definedName name="TmC">#REF!</definedName>
    <definedName name="TmF">#REF!</definedName>
    <definedName name="Toggle_Sheets_Language" localSheetId="4">연소가스자료!Toggle_Sheets_Language</definedName>
    <definedName name="Toggle_Sheets_Language">연소가스자료!Toggle_Sheets_Language</definedName>
    <definedName name="Ts">'기록지(수분량자동측정기)'!#REF!</definedName>
    <definedName name="V">'기록지(수분량자동측정기)'!#REF!</definedName>
    <definedName name="Ve">계산식!$G$27</definedName>
    <definedName name="Vic">계산식!$J$35</definedName>
    <definedName name="Vm">'기록지(수분량자동측정기)'!#REF!</definedName>
    <definedName name="Vp">'기록지(수분량자동측정기)'!#REF!</definedName>
    <definedName name="We">'기록지(수분량자동측정기)'!$F$14</definedName>
    <definedName name="Ws">'기록지(수분량자동측정기)'!$D$14</definedName>
    <definedName name="Xtm">'기록지(수분량자동측정기)'!#REF!</definedName>
    <definedName name="Xw">'기록지(수분량자동측정기)'!$J$9</definedName>
    <definedName name="ΔH">#REF!</definedName>
    <definedName name="ΔP">#REF!</definedName>
    <definedName name="연료사용량">#REF!</definedName>
    <definedName name="지점1">'지점 사진'!$A$1</definedName>
    <definedName name="지점2">'지점 사진'!$B$1</definedName>
    <definedName name="지점3">'지점 사진'!$C$1</definedName>
    <definedName name="지점4">'지점 사진'!$D$1</definedName>
    <definedName name="지점5">'지점 사진'!$E$1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4" l="1"/>
  <c r="J9" i="1"/>
  <c r="J14" i="12"/>
  <c r="B19" i="14"/>
  <c r="H26" i="1"/>
  <c r="B34" i="1"/>
  <c r="E28" i="1"/>
  <c r="F9" i="1"/>
  <c r="E9" i="1"/>
  <c r="J11" i="12" l="1"/>
  <c r="H15" i="1" l="1"/>
  <c r="I15" i="1"/>
  <c r="J15" i="1"/>
  <c r="C5" i="12"/>
  <c r="E26" i="1" l="1"/>
  <c r="E27" i="1"/>
  <c r="E29" i="1" l="1"/>
  <c r="G26" i="1" s="1"/>
  <c r="K27" i="12" l="1"/>
  <c r="J27" i="12"/>
  <c r="H27" i="12"/>
  <c r="B27" i="12" l="1"/>
  <c r="C27" i="12"/>
  <c r="D27" i="12"/>
  <c r="E27" i="12"/>
  <c r="G27" i="12" l="1"/>
  <c r="K48" i="14" l="1"/>
  <c r="B14" i="16"/>
  <c r="B38" i="7" l="1"/>
  <c r="C6" i="12" l="1"/>
  <c r="F34" i="2"/>
  <c r="F44" i="2"/>
  <c r="J6" i="12" l="1"/>
  <c r="D38" i="7"/>
  <c r="F21" i="2"/>
  <c r="C8" i="12" l="1"/>
  <c r="C5" i="17" l="1"/>
  <c r="D5" i="17"/>
  <c r="E5" i="17"/>
  <c r="F5" i="17"/>
  <c r="B5" i="17"/>
  <c r="H38" i="7" l="1"/>
  <c r="H39" i="7" s="1"/>
  <c r="C49" i="7" l="1"/>
  <c r="G49" i="7" s="1"/>
  <c r="H49" i="7" s="1"/>
  <c r="I49" i="7" s="1"/>
  <c r="C45" i="7"/>
  <c r="C47" i="7"/>
  <c r="C48" i="7"/>
  <c r="G48" i="7" s="1"/>
  <c r="H48" i="7" s="1"/>
  <c r="I48" i="7" s="1"/>
  <c r="C46" i="7"/>
  <c r="J46" i="7" s="1"/>
  <c r="G47" i="7" l="1"/>
  <c r="H47" i="7" s="1"/>
  <c r="I47" i="7" s="1"/>
  <c r="J47" i="7"/>
  <c r="G45" i="7"/>
  <c r="H45" i="7" s="1"/>
  <c r="I45" i="7" s="1"/>
  <c r="J45" i="7"/>
  <c r="G46" i="7"/>
  <c r="H46" i="7" s="1"/>
  <c r="I46" i="7" s="1"/>
  <c r="C16" i="2" l="1"/>
  <c r="D15" i="1" l="1"/>
  <c r="F26" i="1"/>
  <c r="I9" i="1" s="1"/>
  <c r="F24" i="2"/>
  <c r="F23" i="2"/>
  <c r="F22" i="2"/>
  <c r="K15" i="1" l="1"/>
  <c r="G39" i="1" s="1"/>
  <c r="H50" i="1" s="1"/>
  <c r="F25" i="2"/>
  <c r="E44" i="2"/>
  <c r="H44" i="1" l="1"/>
  <c r="H54" i="1"/>
  <c r="H41" i="1"/>
  <c r="H53" i="1"/>
  <c r="H48" i="1"/>
  <c r="H46" i="1"/>
  <c r="H40" i="1"/>
  <c r="H42" i="1"/>
  <c r="H56" i="1"/>
  <c r="H51" i="1"/>
  <c r="H52" i="1"/>
  <c r="H43" i="1"/>
  <c r="H45" i="1"/>
  <c r="H39" i="1"/>
  <c r="H47" i="1"/>
  <c r="H49" i="1"/>
  <c r="H55" i="1"/>
  <c r="B44" i="2"/>
  <c r="J7" i="12" l="1"/>
  <c r="J8" i="12" l="1"/>
  <c r="K47" i="14" l="1"/>
  <c r="G11" i="14"/>
  <c r="D29" i="2" l="1"/>
  <c r="I29" i="2" s="1"/>
  <c r="J12" i="12" l="1"/>
  <c r="N23" i="12" l="1"/>
  <c r="N25" i="12"/>
  <c r="N19" i="12"/>
  <c r="M19" i="12" s="1"/>
  <c r="N24" i="12"/>
  <c r="M24" i="12" s="1"/>
  <c r="N18" i="12"/>
  <c r="N17" i="12"/>
  <c r="N22" i="12"/>
  <c r="N21" i="12"/>
  <c r="N26" i="12"/>
  <c r="M26" i="12" s="1"/>
  <c r="N20" i="12"/>
  <c r="M25" i="12"/>
  <c r="M22" i="12"/>
  <c r="M21" i="12"/>
  <c r="M18" i="12"/>
  <c r="M17" i="12"/>
  <c r="M23" i="12"/>
  <c r="M20" i="12"/>
  <c r="I19" i="14"/>
  <c r="E48" i="14"/>
  <c r="B11" i="14"/>
  <c r="B68" i="14" l="1"/>
  <c r="G67" i="14"/>
  <c r="E67" i="14"/>
  <c r="C44" i="2" l="1"/>
  <c r="D44" i="2" s="1"/>
  <c r="F37" i="2"/>
  <c r="D35" i="14" s="1"/>
  <c r="E20" i="14"/>
  <c r="E12" i="14" l="1"/>
  <c r="F7" i="17" l="1"/>
  <c r="E7" i="17"/>
  <c r="D7" i="17"/>
  <c r="C7" i="17"/>
  <c r="B7" i="17"/>
  <c r="F6" i="17"/>
  <c r="E6" i="17"/>
  <c r="D6" i="17"/>
  <c r="C6" i="17"/>
  <c r="B6" i="17"/>
  <c r="C15" i="1"/>
  <c r="F13" i="12" s="1"/>
  <c r="B15" i="1"/>
  <c r="C11" i="12" l="1"/>
  <c r="K75" i="14" s="1"/>
  <c r="H7" i="1"/>
  <c r="H9" i="1" l="1"/>
  <c r="E56" i="1" s="1"/>
  <c r="F56" i="1" s="1"/>
  <c r="I56" i="1" s="1"/>
  <c r="J56" i="1" s="1"/>
  <c r="K78" i="14"/>
  <c r="E27" i="14"/>
  <c r="G11" i="12"/>
  <c r="G12" i="12" s="1"/>
  <c r="D58" i="14" s="1"/>
  <c r="E46" i="1" l="1"/>
  <c r="F46" i="1" s="1"/>
  <c r="I46" i="1" s="1"/>
  <c r="J46" i="1" s="1"/>
  <c r="E50" i="1"/>
  <c r="F50" i="1" s="1"/>
  <c r="I50" i="1" s="1"/>
  <c r="J50" i="1" s="1"/>
  <c r="E43" i="1"/>
  <c r="E41" i="1"/>
  <c r="F41" i="1" s="1"/>
  <c r="I41" i="1" s="1"/>
  <c r="J41" i="1" s="1"/>
  <c r="E51" i="1"/>
  <c r="F51" i="1" s="1"/>
  <c r="I51" i="1" s="1"/>
  <c r="J51" i="1" s="1"/>
  <c r="E54" i="1"/>
  <c r="F54" i="1" s="1"/>
  <c r="I54" i="1" s="1"/>
  <c r="J54" i="1" s="1"/>
  <c r="E55" i="1"/>
  <c r="F55" i="1" s="1"/>
  <c r="I55" i="1" s="1"/>
  <c r="J55" i="1" s="1"/>
  <c r="E44" i="1"/>
  <c r="E53" i="1"/>
  <c r="F53" i="1" s="1"/>
  <c r="I53" i="1" s="1"/>
  <c r="J53" i="1" s="1"/>
  <c r="E39" i="1"/>
  <c r="F39" i="1" s="1"/>
  <c r="I39" i="1" s="1"/>
  <c r="J39" i="1" s="1"/>
  <c r="E42" i="1"/>
  <c r="F42" i="1" s="1"/>
  <c r="I42" i="1" s="1"/>
  <c r="J42" i="1" s="1"/>
  <c r="E49" i="1"/>
  <c r="F49" i="1" s="1"/>
  <c r="I49" i="1" s="1"/>
  <c r="J49" i="1" s="1"/>
  <c r="E40" i="1"/>
  <c r="F40" i="1" s="1"/>
  <c r="I40" i="1" s="1"/>
  <c r="J40" i="1" s="1"/>
  <c r="E47" i="1"/>
  <c r="F47" i="1" s="1"/>
  <c r="I47" i="1" s="1"/>
  <c r="J47" i="1" s="1"/>
  <c r="E45" i="1"/>
  <c r="F45" i="1" s="1"/>
  <c r="I45" i="1" s="1"/>
  <c r="J45" i="1" s="1"/>
  <c r="E48" i="1"/>
  <c r="F48" i="1" s="1"/>
  <c r="I48" i="1" s="1"/>
  <c r="J48" i="1" s="1"/>
  <c r="E52" i="1"/>
  <c r="F52" i="1" s="1"/>
  <c r="I52" i="1" s="1"/>
  <c r="J52" i="1" s="1"/>
  <c r="A3" i="17"/>
  <c r="J5" i="12"/>
  <c r="F44" i="1" l="1"/>
  <c r="I44" i="1" s="1"/>
  <c r="J44" i="1" s="1"/>
  <c r="C12" i="12"/>
  <c r="F43" i="1"/>
  <c r="I43" i="1" s="1"/>
  <c r="J43" i="1" s="1"/>
  <c r="B47" i="14"/>
  <c r="F17" i="12" l="1"/>
  <c r="F25" i="12"/>
  <c r="F26" i="12"/>
  <c r="F24" i="12"/>
  <c r="F18" i="12"/>
  <c r="F22" i="12"/>
  <c r="F19" i="12"/>
  <c r="F23" i="12"/>
  <c r="F21" i="12"/>
  <c r="F20" i="12"/>
  <c r="G47" i="14"/>
  <c r="L58" i="14"/>
  <c r="J58" i="14"/>
  <c r="B27" i="14"/>
  <c r="G19" i="14"/>
  <c r="F35" i="2"/>
  <c r="F36" i="2"/>
  <c r="O25" i="12" l="1"/>
  <c r="L25" i="12" s="1"/>
  <c r="O24" i="12"/>
  <c r="L24" i="12" s="1"/>
  <c r="O26" i="12"/>
  <c r="L26" i="12" s="1"/>
  <c r="F27" i="12"/>
  <c r="G31" i="12" s="1"/>
  <c r="O19" i="12"/>
  <c r="L19" i="12" s="1"/>
  <c r="O21" i="12"/>
  <c r="L21" i="12" s="1"/>
  <c r="O18" i="12"/>
  <c r="L18" i="12" s="1"/>
  <c r="O22" i="12"/>
  <c r="L22" i="12" s="1"/>
  <c r="O20" i="12"/>
  <c r="L20" i="12" s="1"/>
  <c r="O23" i="12"/>
  <c r="L23" i="12" s="1"/>
  <c r="F38" i="2"/>
  <c r="G35" i="14"/>
  <c r="I35" i="14" s="1"/>
  <c r="H59" i="14"/>
  <c r="H9" i="14" l="1"/>
  <c r="L11" i="14"/>
  <c r="E47" i="14"/>
  <c r="D28" i="14" l="1"/>
  <c r="G27" i="14" s="1"/>
  <c r="C13" i="12" s="1"/>
  <c r="G2" i="11"/>
  <c r="G10" i="11"/>
  <c r="C10" i="11"/>
  <c r="K77" i="14"/>
  <c r="K74" i="14"/>
  <c r="G68" i="14"/>
  <c r="I48" i="14" l="1"/>
  <c r="G48" i="14"/>
  <c r="B58" i="14"/>
  <c r="E69" i="14" l="1"/>
  <c r="I47" i="14"/>
  <c r="G11" i="11" l="1"/>
  <c r="G44" i="2"/>
  <c r="H44" i="2" s="1"/>
  <c r="I44" i="2" s="1"/>
  <c r="I11" i="14"/>
  <c r="P10" i="14" s="1"/>
  <c r="M47" i="14"/>
  <c r="T47" i="14" s="1"/>
  <c r="C10" i="12"/>
  <c r="I68" i="14"/>
  <c r="P67" i="14" s="1"/>
  <c r="M74" i="14" s="1"/>
  <c r="G12" i="11" s="1"/>
  <c r="C12" i="11" l="1"/>
  <c r="G74" i="14"/>
  <c r="J9" i="12" l="1"/>
  <c r="C11" i="11" s="1"/>
  <c r="O58" i="14" l="1"/>
  <c r="T58" i="14" l="1"/>
  <c r="M77" i="14" s="1"/>
  <c r="G13" i="11" s="1"/>
  <c r="G77" i="14" l="1"/>
  <c r="G14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E13" authorId="0" shapeId="0" xr:uid="{00000000-0006-0000-0500-000002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</t>
        </r>
      </text>
    </comment>
    <comment ref="H13" authorId="0" shapeId="0" xr:uid="{00000000-0006-0000-05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빨간색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I13" authorId="0" shapeId="0" xr:uid="{00000000-0006-0000-05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J13" authorId="0" shapeId="0" xr:uid="{00000000-0006-0000-05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동정압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빨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파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동시에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꽂았을때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F14" authorId="0" shapeId="0" xr:uid="{00000000-0006-0000-0500-000006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Inlet</t>
        </r>
      </text>
    </comment>
    <comment ref="G14" authorId="0" shapeId="0" xr:uid="{00000000-0006-0000-0500-000007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Outlet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A6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굴뚝번호</t>
        </r>
      </text>
    </comment>
    <comment ref="J6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대기온도</t>
        </r>
      </text>
    </comment>
    <comment ref="J7" authorId="0" shapeId="0" xr:uid="{00000000-0006-0000-06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대기압</t>
        </r>
      </text>
    </comment>
    <comment ref="B14" authorId="0" shapeId="0" xr:uid="{00000000-0006-0000-06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시설별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표준산소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D14" authorId="0" shapeId="0" xr:uid="{00000000-0006-0000-06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F14" authorId="0" shapeId="0" xr:uid="{00000000-0006-0000-0600-000006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A15" authorId="0" shapeId="0" xr:uid="{00000000-0006-0000-0600-000007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채쥐지점별로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</t>
        </r>
      </text>
    </comment>
    <comment ref="J15" authorId="0" shapeId="0" xr:uid="{00000000-0006-0000-0600-000008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 </t>
        </r>
        <r>
          <rPr>
            <sz val="9"/>
            <color indexed="81"/>
            <rFont val="돋움"/>
            <family val="3"/>
            <charset val="129"/>
          </rPr>
          <t>온도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<sst xmlns="http://schemas.openxmlformats.org/spreadsheetml/2006/main" count="406" uniqueCount="290">
  <si>
    <t>▶ 측정지점의 대기압 및 피토계수</t>
    <phoneticPr fontId="3" type="noConversion"/>
  </si>
  <si>
    <t>예비수분량</t>
    <phoneticPr fontId="3" type="noConversion"/>
  </si>
  <si>
    <t>정압</t>
  </si>
  <si>
    <t>동압</t>
  </si>
  <si>
    <t>(mmHg)</t>
    <phoneticPr fontId="3" type="noConversion"/>
  </si>
  <si>
    <t>(%)</t>
    <phoneticPr fontId="3" type="noConversion"/>
  </si>
  <si>
    <t>스택온도</t>
    <phoneticPr fontId="3" type="noConversion"/>
  </si>
  <si>
    <t>가스미터온도</t>
    <phoneticPr fontId="3" type="noConversion"/>
  </si>
  <si>
    <t>입구</t>
    <phoneticPr fontId="3" type="noConversion"/>
  </si>
  <si>
    <t>출구</t>
    <phoneticPr fontId="3" type="noConversion"/>
  </si>
  <si>
    <t>기온</t>
    <phoneticPr fontId="3" type="noConversion"/>
  </si>
  <si>
    <t>피토계수</t>
    <phoneticPr fontId="3" type="noConversion"/>
  </si>
  <si>
    <t>(℃)</t>
    <phoneticPr fontId="3" type="noConversion"/>
  </si>
  <si>
    <t>▶ 기초입력자료(Metric Unit)</t>
    <phoneticPr fontId="3" type="noConversion"/>
  </si>
  <si>
    <t>(분)</t>
    <phoneticPr fontId="3" type="noConversion"/>
  </si>
  <si>
    <t>노즐직경</t>
    <phoneticPr fontId="3" type="noConversion"/>
  </si>
  <si>
    <t>(mm)</t>
    <phoneticPr fontId="3" type="noConversion"/>
  </si>
  <si>
    <t>K-factor</t>
    <phoneticPr fontId="3" type="noConversion"/>
  </si>
  <si>
    <t>ΔH</t>
    <phoneticPr fontId="3" type="noConversion"/>
  </si>
  <si>
    <t>가스채취량</t>
    <phoneticPr fontId="3" type="noConversion"/>
  </si>
  <si>
    <t>가스미터온도(℃)</t>
    <phoneticPr fontId="3" type="noConversion"/>
  </si>
  <si>
    <t>▶ 측정시간 및 노즐산정(Metric Unit)</t>
    <phoneticPr fontId="3" type="noConversion"/>
  </si>
  <si>
    <t>측정전</t>
    <phoneticPr fontId="3" type="noConversion"/>
  </si>
  <si>
    <t>측정후</t>
    <phoneticPr fontId="3" type="noConversion"/>
  </si>
  <si>
    <t>구분</t>
    <phoneticPr fontId="3" type="noConversion"/>
  </si>
  <si>
    <t>수분량</t>
    <phoneticPr fontId="3" type="noConversion"/>
  </si>
  <si>
    <t>가스미터압</t>
    <phoneticPr fontId="3" type="noConversion"/>
  </si>
  <si>
    <t>(mm Hg)</t>
    <phoneticPr fontId="3" type="noConversion"/>
  </si>
  <si>
    <t>수분량 측정</t>
    <phoneticPr fontId="3" type="noConversion"/>
  </si>
  <si>
    <t>노즐 및 측정시간 산정</t>
    <phoneticPr fontId="3" type="noConversion"/>
  </si>
  <si>
    <t>건조가스분자량</t>
    <phoneticPr fontId="3" type="noConversion"/>
  </si>
  <si>
    <t>습가스     분자량</t>
    <phoneticPr fontId="3" type="noConversion"/>
  </si>
  <si>
    <t>(%)</t>
    <phoneticPr fontId="3" type="noConversion"/>
  </si>
  <si>
    <t>r</t>
    <phoneticPr fontId="3" type="noConversion"/>
  </si>
  <si>
    <t>배출가스밀도</t>
    <phoneticPr fontId="3" type="noConversion"/>
  </si>
  <si>
    <t>가스유속</t>
    <phoneticPr fontId="3" type="noConversion"/>
  </si>
  <si>
    <t>(L)</t>
    <phoneticPr fontId="3" type="noConversion"/>
  </si>
  <si>
    <t>(m/s)</t>
    <phoneticPr fontId="3" type="noConversion"/>
  </si>
  <si>
    <t>℃</t>
    <phoneticPr fontId="3" type="noConversion"/>
  </si>
  <si>
    <t>min</t>
    <phoneticPr fontId="3" type="noConversion"/>
  </si>
  <si>
    <t>(L)</t>
  </si>
  <si>
    <t># 1</t>
  </si>
  <si>
    <t># 2</t>
  </si>
  <si>
    <t># 3</t>
  </si>
  <si>
    <t># 4</t>
  </si>
  <si>
    <t># 5</t>
  </si>
  <si>
    <t>시료측정위치 선정</t>
    <phoneticPr fontId="3" type="noConversion"/>
  </si>
  <si>
    <t>D(m)</t>
    <phoneticPr fontId="3" type="noConversion"/>
  </si>
  <si>
    <t>먼지측정 결과보고서</t>
    <phoneticPr fontId="3" type="noConversion"/>
  </si>
  <si>
    <t>1. 일반사항</t>
    <phoneticPr fontId="3" type="noConversion"/>
  </si>
  <si>
    <t xml:space="preserve">라. 최대 연료사용량 : </t>
    <phoneticPr fontId="3" type="noConversion"/>
  </si>
  <si>
    <t>L/hr</t>
    <phoneticPr fontId="3" type="noConversion"/>
  </si>
  <si>
    <t xml:space="preserve">마. 측정당시연료사용량 : </t>
    <phoneticPr fontId="3" type="noConversion"/>
  </si>
  <si>
    <t>2. 측정결과</t>
    <phoneticPr fontId="3" type="noConversion"/>
  </si>
  <si>
    <t>가. 측정산소 농도 :</t>
    <phoneticPr fontId="3" type="noConversion"/>
  </si>
  <si>
    <t>나. 표준산소농도 :</t>
    <phoneticPr fontId="3" type="noConversion"/>
  </si>
  <si>
    <t>다. 수분량 :</t>
    <phoneticPr fontId="3" type="noConversion"/>
  </si>
  <si>
    <t>라. 등속계수(I) :</t>
    <phoneticPr fontId="3" type="noConversion"/>
  </si>
  <si>
    <t>마. 측정먼지농도</t>
    <phoneticPr fontId="3" type="noConversion"/>
  </si>
  <si>
    <r>
      <t>mg/Sm</t>
    </r>
    <r>
      <rPr>
        <vertAlign val="superscript"/>
        <sz val="11"/>
        <rFont val="돋움"/>
        <family val="3"/>
        <charset val="129"/>
      </rPr>
      <t>3</t>
    </r>
    <phoneticPr fontId="3" type="noConversion"/>
  </si>
  <si>
    <t>바.표준산소환산먼지농도 :</t>
    <phoneticPr fontId="3" type="noConversion"/>
  </si>
  <si>
    <t>사. 표준산소환산 측정유량 :</t>
    <phoneticPr fontId="3" type="noConversion"/>
  </si>
  <si>
    <r>
      <t>Sm</t>
    </r>
    <r>
      <rPr>
        <vertAlign val="superscript"/>
        <sz val="11"/>
        <rFont val="돋움"/>
        <family val="3"/>
        <charset val="129"/>
      </rPr>
      <t>3</t>
    </r>
    <r>
      <rPr>
        <sz val="11"/>
        <rFont val="돋움"/>
        <family val="3"/>
        <charset val="129"/>
      </rPr>
      <t>/hr</t>
    </r>
    <phoneticPr fontId="3" type="noConversion"/>
  </si>
  <si>
    <t>아. 실측치를 이용한 최대배출가스유량 :</t>
    <phoneticPr fontId="3" type="noConversion"/>
  </si>
  <si>
    <t>3. 측정시 문제점 및 건의사항 (필요시 이면이나 별지를 사용)</t>
    <phoneticPr fontId="3" type="noConversion"/>
  </si>
  <si>
    <t>평균</t>
    <phoneticPr fontId="3" type="noConversion"/>
  </si>
  <si>
    <t>.</t>
    <phoneticPr fontId="3" type="noConversion"/>
  </si>
  <si>
    <t>+</t>
    <phoneticPr fontId="9" type="noConversion"/>
  </si>
  <si>
    <t>273 +</t>
    <phoneticPr fontId="9" type="noConversion"/>
  </si>
  <si>
    <t>273 +</t>
    <phoneticPr fontId="9" type="noConversion"/>
  </si>
  <si>
    <t>+</t>
    <phoneticPr fontId="9" type="noConversion"/>
  </si>
  <si>
    <t>Vic =</t>
    <phoneticPr fontId="9" type="noConversion"/>
  </si>
  <si>
    <t>/</t>
    <phoneticPr fontId="9" type="noConversion"/>
  </si>
  <si>
    <t>(</t>
    <phoneticPr fontId="9" type="noConversion"/>
  </si>
  <si>
    <t>)]</t>
    <phoneticPr fontId="9" type="noConversion"/>
  </si>
  <si>
    <t xml:space="preserve">I(%) = </t>
    <phoneticPr fontId="9" type="noConversion"/>
  </si>
  <si>
    <t>-</t>
    <phoneticPr fontId="9" type="noConversion"/>
  </si>
  <si>
    <t>C =</t>
    <phoneticPr fontId="9" type="noConversion"/>
  </si>
  <si>
    <t>Q =</t>
    <phoneticPr fontId="9" type="noConversion"/>
  </si>
  <si>
    <t>( 1 -</t>
    <phoneticPr fontId="9" type="noConversion"/>
  </si>
  <si>
    <t>)</t>
    <phoneticPr fontId="9" type="noConversion"/>
  </si>
  <si>
    <t>채취점
번호</t>
    <phoneticPr fontId="3" type="noConversion"/>
  </si>
  <si>
    <t>mmHg</t>
    <phoneticPr fontId="3" type="noConversion"/>
  </si>
  <si>
    <t>㎥</t>
    <phoneticPr fontId="3" type="noConversion"/>
  </si>
  <si>
    <t>건식가스미터에
서의 온도(℃)</t>
    <phoneticPr fontId="3" type="noConversion"/>
  </si>
  <si>
    <t xml:space="preserve"> 업소명 :</t>
    <phoneticPr fontId="3" type="noConversion"/>
  </si>
  <si>
    <t xml:space="preserve"> 측정대상명 :</t>
    <phoneticPr fontId="3" type="noConversion"/>
  </si>
  <si>
    <t xml:space="preserve"> 작성자명 :</t>
    <phoneticPr fontId="3" type="noConversion"/>
  </si>
  <si>
    <t xml:space="preserve"> 측정일 :</t>
    <phoneticPr fontId="3" type="noConversion"/>
  </si>
  <si>
    <t xml:space="preserve"> 측정번호 :</t>
    <phoneticPr fontId="3" type="noConversion"/>
  </si>
  <si>
    <t xml:space="preserve"> 오리피스미터 ΔH :</t>
    <phoneticPr fontId="3" type="noConversion"/>
  </si>
  <si>
    <t xml:space="preserve"> 산소량 (%) :</t>
    <phoneticPr fontId="3" type="noConversion"/>
  </si>
  <si>
    <t xml:space="preserve"> 피토우관계수 : </t>
    <phoneticPr fontId="3" type="noConversion"/>
  </si>
  <si>
    <t xml:space="preserve"> 배출가스정압 (mmHg)</t>
    <phoneticPr fontId="3" type="noConversion"/>
  </si>
  <si>
    <t xml:space="preserve"> 여과지 번호</t>
    <phoneticPr fontId="3" type="noConversion"/>
  </si>
  <si>
    <t xml:space="preserve"> 등속흡인계수 (%) :</t>
    <phoneticPr fontId="3" type="noConversion"/>
  </si>
  <si>
    <t xml:space="preserve"> 수분량 (%) :</t>
    <phoneticPr fontId="3" type="noConversion"/>
  </si>
  <si>
    <t xml:space="preserve"> 흡인관 길이 (m) :</t>
    <phoneticPr fontId="3" type="noConversion"/>
  </si>
  <si>
    <t xml:space="preserve"> 흡인노즐 직경 (cm) :</t>
    <phoneticPr fontId="3" type="noConversion"/>
  </si>
  <si>
    <t>Qa =</t>
    <phoneticPr fontId="9" type="noConversion"/>
  </si>
  <si>
    <t>×</t>
    <phoneticPr fontId="9" type="noConversion"/>
  </si>
  <si>
    <t>2 ×9.81 ×</t>
    <phoneticPr fontId="9" type="noConversion"/>
  </si>
  <si>
    <t>÷</t>
    <phoneticPr fontId="9" type="noConversion"/>
  </si>
  <si>
    <t>r =</t>
    <phoneticPr fontId="9" type="noConversion"/>
  </si>
  <si>
    <t>Xw =</t>
    <phoneticPr fontId="9" type="noConversion"/>
  </si>
  <si>
    <t>  수분량 (%)</t>
  </si>
  <si>
    <t>  배출가스유속 (m/sec)</t>
  </si>
  <si>
    <t>   임핀저와 실리카겔에 채취된 물의 총량 (㎖)</t>
  </si>
  <si>
    <t>  배출가스밀도 (Kg/㎥)</t>
  </si>
  <si>
    <t>=</t>
    <phoneticPr fontId="9" type="noConversion"/>
  </si>
  <si>
    <t xml:space="preserve"> 등속흡인계수 계산 (I factor) (%)</t>
    <phoneticPr fontId="9" type="noConversion"/>
  </si>
  <si>
    <t>× [ 0.00346 ×</t>
    <phoneticPr fontId="9" type="noConversion"/>
  </si>
  <si>
    <t>Ca =</t>
    <phoneticPr fontId="9" type="noConversion"/>
  </si>
  <si>
    <t>연도내경 (m)</t>
    <phoneticPr fontId="3" type="noConversion"/>
  </si>
  <si>
    <t>√</t>
    <phoneticPr fontId="9" type="noConversion"/>
  </si>
  <si>
    <t> 먼지농도 계산 (㎎/S㎥)</t>
    <phoneticPr fontId="9" type="noConversion"/>
  </si>
  <si>
    <t>측정공에서 기압</t>
    <phoneticPr fontId="3" type="noConversion"/>
  </si>
  <si>
    <t xml:space="preserve"> K factor :</t>
    <phoneticPr fontId="3" type="noConversion"/>
  </si>
  <si>
    <t>CO2(%)</t>
    <phoneticPr fontId="3" type="noConversion"/>
  </si>
  <si>
    <t>최종 샘플링 위치</t>
    <phoneticPr fontId="3" type="noConversion"/>
  </si>
  <si>
    <t xml:space="preserve">▣ 작성자 소속 : </t>
    <phoneticPr fontId="3" type="noConversion"/>
  </si>
  <si>
    <t>▣ 확인자 소속 :</t>
    <phoneticPr fontId="3" type="noConversion"/>
  </si>
  <si>
    <t xml:space="preserve">직급 : </t>
    <phoneticPr fontId="3" type="noConversion"/>
  </si>
  <si>
    <t>가. 측정기관(업소명) :</t>
    <phoneticPr fontId="3" type="noConversion"/>
  </si>
  <si>
    <t>나. 배출시설명 :</t>
    <phoneticPr fontId="3" type="noConversion"/>
  </si>
  <si>
    <t>다. 방지시설명 :</t>
    <phoneticPr fontId="3" type="noConversion"/>
  </si>
  <si>
    <t>▶ 시료채취 후 임핀저 무게 측정을 통한 수분량 무게 측정</t>
    <phoneticPr fontId="3" type="noConversion"/>
  </si>
  <si>
    <t>측정전 무게</t>
    <phoneticPr fontId="3" type="noConversion"/>
  </si>
  <si>
    <t>측정후 무게</t>
    <phoneticPr fontId="3" type="noConversion"/>
  </si>
  <si>
    <t>누출시험 기록부</t>
    <phoneticPr fontId="3" type="noConversion"/>
  </si>
  <si>
    <t>▶ 누출시험 방법</t>
    <phoneticPr fontId="3" type="noConversion"/>
  </si>
  <si>
    <t>측정일자</t>
    <phoneticPr fontId="3" type="noConversion"/>
  </si>
  <si>
    <t>시료채취장치</t>
    <phoneticPr fontId="3" type="noConversion"/>
  </si>
  <si>
    <t>임핀저 트레인</t>
    <phoneticPr fontId="3" type="noConversion"/>
  </si>
  <si>
    <t>시료채취부</t>
    <phoneticPr fontId="3" type="noConversion"/>
  </si>
  <si>
    <t>유량계 멈춤 여부 (O, X)</t>
    <phoneticPr fontId="3" type="noConversion"/>
  </si>
  <si>
    <t>▶ 기록부</t>
    <phoneticPr fontId="3" type="noConversion"/>
  </si>
  <si>
    <t>비고</t>
    <phoneticPr fontId="3" type="noConversion"/>
  </si>
  <si>
    <t>누출을 확인할 부위를 연결하여 모든 부분을 막은 후, 시료채취장치의 진공계 압력이 380 mmHg (15 inHg)가 되게 한 후 5초 동안의 누출여부로 판단함</t>
    <phoneticPr fontId="3" type="noConversion"/>
  </si>
  <si>
    <t>각(시료채취장치, 임핀저 트레인, 시료채취부 부위별로 수행하거나, 전체부위를 연결하여 통합으로 수행하여 누출여부를 확인하다.</t>
    <phoneticPr fontId="3" type="noConversion"/>
  </si>
  <si>
    <t>▶ 본 측정시 가스흡인량</t>
    <phoneticPr fontId="3" type="noConversion"/>
  </si>
  <si>
    <t>샘플러번호</t>
    <phoneticPr fontId="3" type="noConversion"/>
  </si>
  <si>
    <t>SN.</t>
    <phoneticPr fontId="3" type="noConversion"/>
  </si>
  <si>
    <t>1910162K</t>
    <phoneticPr fontId="3" type="noConversion"/>
  </si>
  <si>
    <t>1910163K</t>
    <phoneticPr fontId="3" type="noConversion"/>
  </si>
  <si>
    <t>1910164K</t>
    <phoneticPr fontId="3" type="noConversion"/>
  </si>
  <si>
    <t>1910165K</t>
    <phoneticPr fontId="3" type="noConversion"/>
  </si>
  <si>
    <t>Vic = (채취 전후의 실리카겔 무게차, mg) + (임핀저 내 물부피 차(mL) 또는 임핀저 무게차(g))</t>
    <phoneticPr fontId="9" type="noConversion"/>
  </si>
  <si>
    <t>항     목</t>
    <phoneticPr fontId="3" type="noConversion"/>
  </si>
  <si>
    <t>응축 수분량(전후차)</t>
    <phoneticPr fontId="3" type="noConversion"/>
  </si>
  <si>
    <t>Impinger 1</t>
    <phoneticPr fontId="3" type="noConversion"/>
  </si>
  <si>
    <t>Impinger 2</t>
    <phoneticPr fontId="3" type="noConversion"/>
  </si>
  <si>
    <t>Impinger 3</t>
    <phoneticPr fontId="3" type="noConversion"/>
  </si>
  <si>
    <t>Impinger 4</t>
    <phoneticPr fontId="3" type="noConversion"/>
  </si>
  <si>
    <t>배출가스 온도
(℃)</t>
    <phoneticPr fontId="3" type="noConversion"/>
  </si>
  <si>
    <t>시료채취 시간
(분)</t>
    <phoneticPr fontId="3" type="noConversion"/>
  </si>
  <si>
    <t>여과지
홀더 
온도(℃)</t>
    <phoneticPr fontId="3" type="noConversion"/>
  </si>
  <si>
    <t>최종
임핀저
출구온도(℃)</t>
    <phoneticPr fontId="3" type="noConversion"/>
  </si>
  <si>
    <t xml:space="preserve"> 기온(℃)  : </t>
    <phoneticPr fontId="3" type="noConversion"/>
  </si>
  <si>
    <t xml:space="preserve"> 기압 (mmHg)  :</t>
    <phoneticPr fontId="3" type="noConversion"/>
  </si>
  <si>
    <t xml:space="preserve"> 측정공 위치의 기압
 (mmHg) : </t>
    <phoneticPr fontId="3" type="noConversion"/>
  </si>
  <si>
    <t>가스미터지시값 (L)</t>
    <phoneticPr fontId="3" type="noConversion"/>
  </si>
  <si>
    <t>-</t>
    <phoneticPr fontId="3" type="noConversion"/>
  </si>
  <si>
    <t>배출가스 속도 (m/s)</t>
    <phoneticPr fontId="3" type="noConversion"/>
  </si>
  <si>
    <t>등속흡입계수 (%)</t>
    <phoneticPr fontId="3" type="noConversion"/>
  </si>
  <si>
    <t>표준산소Os
(%)</t>
    <phoneticPr fontId="3" type="noConversion"/>
  </si>
  <si>
    <t>측정전무게
Ws
(mg)</t>
    <phoneticPr fontId="3" type="noConversion"/>
  </si>
  <si>
    <t>측정후무게
We
(mg)</t>
    <phoneticPr fontId="3" type="noConversion"/>
  </si>
  <si>
    <t>연  소  가  스  분  석</t>
  </si>
  <si>
    <t>Item</t>
    <phoneticPr fontId="14" type="noConversion"/>
  </si>
  <si>
    <t>O₂[%]</t>
    <phoneticPr fontId="14" type="noConversion"/>
  </si>
  <si>
    <t>CO₂[%]</t>
    <phoneticPr fontId="14" type="noConversion"/>
  </si>
  <si>
    <t>Avg.</t>
  </si>
  <si>
    <t>Max.</t>
    <phoneticPr fontId="14" type="noConversion"/>
  </si>
  <si>
    <t>Min.</t>
    <phoneticPr fontId="14" type="noConversion"/>
  </si>
  <si>
    <t>O</t>
    <phoneticPr fontId="3" type="noConversion"/>
  </si>
  <si>
    <t>진공
게이지압(mmHg)</t>
    <phoneticPr fontId="3" type="noConversion"/>
  </si>
  <si>
    <t>수분량 (mL)</t>
    <phoneticPr fontId="3" type="noConversion"/>
  </si>
  <si>
    <t>-</t>
    <phoneticPr fontId="3" type="noConversion"/>
  </si>
  <si>
    <t>샘플러번호</t>
    <phoneticPr fontId="3" type="noConversion"/>
  </si>
  <si>
    <t>전압</t>
    <phoneticPr fontId="3" type="noConversion"/>
  </si>
  <si>
    <t>건조가스채취량</t>
    <phoneticPr fontId="3" type="noConversion"/>
  </si>
  <si>
    <t>Vmstd</t>
    <phoneticPr fontId="3" type="noConversion"/>
  </si>
  <si>
    <t xml:space="preserve"> 시료 채취 기록지</t>
    <phoneticPr fontId="3" type="noConversion"/>
  </si>
  <si>
    <t>노즐번호</t>
    <phoneticPr fontId="3" type="noConversion"/>
  </si>
  <si>
    <t>사용노즐 번호</t>
    <phoneticPr fontId="3" type="noConversion"/>
  </si>
  <si>
    <t>▶ 수분량 2법</t>
    <phoneticPr fontId="3" type="noConversion"/>
  </si>
  <si>
    <t>배출가스 밀도</t>
    <phoneticPr fontId="3" type="noConversion"/>
  </si>
  <si>
    <t>▶수분량 자동측정기</t>
    <phoneticPr fontId="3" type="noConversion"/>
  </si>
  <si>
    <t>자동측정기</t>
    <phoneticPr fontId="3" type="noConversion"/>
  </si>
  <si>
    <t>임핀저</t>
    <phoneticPr fontId="3" type="noConversion"/>
  </si>
  <si>
    <t>번호</t>
    <phoneticPr fontId="3" type="noConversion"/>
  </si>
  <si>
    <t>선택번호</t>
    <phoneticPr fontId="3" type="noConversion"/>
  </si>
  <si>
    <t>횟수</t>
    <phoneticPr fontId="3" type="noConversion"/>
  </si>
  <si>
    <t>평균</t>
    <phoneticPr fontId="3" type="noConversion"/>
  </si>
  <si>
    <t>수분량 (%)</t>
    <phoneticPr fontId="3" type="noConversion"/>
  </si>
  <si>
    <t xml:space="preserve">CO [ppm] </t>
    <phoneticPr fontId="14" type="noConversion"/>
  </si>
  <si>
    <t xml:space="preserve">NOx [ppm] </t>
    <phoneticPr fontId="3" type="noConversion"/>
  </si>
  <si>
    <t xml:space="preserve">SOx [ppm] </t>
    <phoneticPr fontId="14" type="noConversion"/>
  </si>
  <si>
    <t>cm</t>
    <phoneticPr fontId="3" type="noConversion"/>
  </si>
  <si>
    <t>Sampling Location(cm)</t>
    <phoneticPr fontId="3" type="noConversion"/>
  </si>
  <si>
    <t xml:space="preserve"> </t>
    <phoneticPr fontId="3" type="noConversion"/>
  </si>
  <si>
    <t>원형굴뚝</t>
    <phoneticPr fontId="3" type="noConversion"/>
  </si>
  <si>
    <t>R(m)</t>
    <phoneticPr fontId="3" type="noConversion"/>
  </si>
  <si>
    <t>수직</t>
    <phoneticPr fontId="3" type="noConversion"/>
  </si>
  <si>
    <t>수평</t>
    <phoneticPr fontId="3" type="noConversion"/>
  </si>
  <si>
    <t>반경구분수</t>
    <phoneticPr fontId="3" type="noConversion"/>
  </si>
  <si>
    <t>측정점수</t>
    <phoneticPr fontId="3" type="noConversion"/>
  </si>
  <si>
    <t>(청) 플랜지</t>
    <phoneticPr fontId="3" type="noConversion"/>
  </si>
  <si>
    <t>중심에서의 거리(cm)</t>
    <phoneticPr fontId="3" type="noConversion"/>
  </si>
  <si>
    <t># R1</t>
    <phoneticPr fontId="3" type="noConversion"/>
  </si>
  <si>
    <t>안쪽</t>
    <phoneticPr fontId="3" type="noConversion"/>
  </si>
  <si>
    <t># R2</t>
    <phoneticPr fontId="3" type="noConversion"/>
  </si>
  <si>
    <t># R3</t>
    <phoneticPr fontId="3" type="noConversion"/>
  </si>
  <si>
    <t># R4</t>
    <phoneticPr fontId="3" type="noConversion"/>
  </si>
  <si>
    <t># R5</t>
    <phoneticPr fontId="3" type="noConversion"/>
  </si>
  <si>
    <t>바깥쪽</t>
    <phoneticPr fontId="3" type="noConversion"/>
  </si>
  <si>
    <t xml:space="preserve"> 표준산소 환산 배출가스 유량(Sm3/hr)</t>
    <phoneticPr fontId="9" type="noConversion"/>
  </si>
  <si>
    <t xml:space="preserve"> 표준산소 환산 먼지농도(㎎/S㎥)</t>
    <phoneticPr fontId="9" type="noConversion"/>
  </si>
  <si>
    <t>전체길이</t>
    <phoneticPr fontId="3" type="noConversion"/>
  </si>
  <si>
    <t>■MAMO-QP-13-03</t>
    <phoneticPr fontId="3" type="noConversion"/>
  </si>
  <si>
    <t>■MAMO-QP-13-03</t>
    <phoneticPr fontId="9" type="noConversion"/>
  </si>
  <si>
    <t xml:space="preserve"> 성명 :             (인)</t>
    <phoneticPr fontId="3" type="noConversion"/>
  </si>
  <si>
    <t>A2312850</t>
    <phoneticPr fontId="3" type="noConversion"/>
  </si>
  <si>
    <t>1지점</t>
    <phoneticPr fontId="3" type="noConversion"/>
  </si>
  <si>
    <t>-</t>
    <phoneticPr fontId="3" type="noConversion"/>
  </si>
  <si>
    <t>1번</t>
    <phoneticPr fontId="3" type="noConversion"/>
  </si>
  <si>
    <t>깊이</t>
    <phoneticPr fontId="3" type="noConversion"/>
  </si>
  <si>
    <t>2지점</t>
  </si>
  <si>
    <t>3지점</t>
  </si>
  <si>
    <t>2번</t>
    <phoneticPr fontId="3" type="noConversion"/>
  </si>
  <si>
    <t>배출가스 중 먼지 측정</t>
    <phoneticPr fontId="3" type="noConversion"/>
  </si>
  <si>
    <t>먼지-1</t>
    <phoneticPr fontId="3" type="noConversion"/>
  </si>
  <si>
    <t>대상사업장</t>
    <phoneticPr fontId="3" type="noConversion"/>
  </si>
  <si>
    <t>:</t>
    <phoneticPr fontId="3" type="noConversion"/>
  </si>
  <si>
    <t>측 정 대 상</t>
    <phoneticPr fontId="3" type="noConversion"/>
  </si>
  <si>
    <t>측 정 일 시</t>
    <phoneticPr fontId="3" type="noConversion"/>
  </si>
  <si>
    <t>시료채취 관련 계산식</t>
    <phoneticPr fontId="3" type="noConversion"/>
  </si>
  <si>
    <t>▶ 배출가스 밀도 (배출가스 조성으로 계산)</t>
    <phoneticPr fontId="3" type="noConversion"/>
  </si>
  <si>
    <t>기체 연료 공기 밀도 공식</t>
    <phoneticPr fontId="19" type="noConversion"/>
  </si>
  <si>
    <t>γₐ = 1 / (22.4 × 100) × [ (M₁x₁ + M₂x₂ + ... + Mₙxₙ) × (100 - Xw)/100 + 18 × Xw/100 ]</t>
  </si>
  <si>
    <t>- Mᵢ: 성분별 분자량 (g/mol)</t>
  </si>
  <si>
    <t>- xᵢ: 성분별 부피백분율 (vol%)</t>
  </si>
  <si>
    <t>- Xw: 수분 비율(vol%)</t>
  </si>
  <si>
    <t>연소가스 조성(vol%) 및 밀도 계산</t>
    <phoneticPr fontId="19" type="noConversion"/>
  </si>
  <si>
    <t>가스분석기 자료로 밀도계산</t>
    <phoneticPr fontId="3" type="noConversion"/>
  </si>
  <si>
    <t>성분</t>
  </si>
  <si>
    <t>몰수</t>
  </si>
  <si>
    <t>분자량</t>
    <phoneticPr fontId="19" type="noConversion"/>
  </si>
  <si>
    <t>vol%</t>
  </si>
  <si>
    <t>수분(vol%)</t>
  </si>
  <si>
    <t>M_gas</t>
    <phoneticPr fontId="19" type="noConversion"/>
  </si>
  <si>
    <t>▶ 배출가스 밀도 (건조가스밀도계로 계산)</t>
    <phoneticPr fontId="3" type="noConversion"/>
  </si>
  <si>
    <t>CO</t>
    <phoneticPr fontId="19" type="noConversion"/>
  </si>
  <si>
    <t>4지점</t>
  </si>
  <si>
    <t>5지점</t>
  </si>
  <si>
    <r>
      <t>L</t>
    </r>
    <r>
      <rPr>
        <b/>
        <vertAlign val="subscript"/>
        <sz val="12"/>
        <rFont val="맑은 고딕"/>
        <family val="3"/>
        <charset val="129"/>
        <scheme val="major"/>
      </rPr>
      <t>nw</t>
    </r>
    <r>
      <rPr>
        <b/>
        <sz val="12"/>
        <rFont val="맑은 고딕"/>
        <family val="3"/>
        <charset val="129"/>
        <scheme val="major"/>
      </rPr>
      <t>(cm)</t>
    </r>
    <phoneticPr fontId="3" type="noConversion"/>
  </si>
  <si>
    <r>
      <t xml:space="preserve">합     계   ( </t>
    </r>
    <r>
      <rPr>
        <b/>
        <sz val="9"/>
        <color indexed="10"/>
        <rFont val="맑은 고딕"/>
        <family val="3"/>
        <charset val="129"/>
        <scheme val="minor"/>
      </rPr>
      <t>V</t>
    </r>
    <r>
      <rPr>
        <b/>
        <vertAlign val="subscript"/>
        <sz val="9"/>
        <color indexed="10"/>
        <rFont val="맑은 고딕"/>
        <family val="3"/>
        <charset val="129"/>
        <scheme val="minor"/>
      </rPr>
      <t>lc</t>
    </r>
    <r>
      <rPr>
        <sz val="9"/>
        <rFont val="맑은 고딕"/>
        <family val="3"/>
        <charset val="129"/>
        <scheme val="minor"/>
      </rPr>
      <t xml:space="preserve"> )</t>
    </r>
    <phoneticPr fontId="3" type="noConversion"/>
  </si>
  <si>
    <t>가스미터(L)</t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</si>
  <si>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inor"/>
      </rPr>
      <t>2</t>
    </r>
    <r>
      <rPr>
        <sz val="11"/>
        <rFont val="맑은 고딕"/>
        <family val="3"/>
        <charset val="129"/>
        <scheme val="minor"/>
      </rPr>
      <t>O)</t>
    </r>
    <phoneticPr fontId="3" type="noConversion"/>
  </si>
  <si>
    <t>측정방법</t>
    <phoneticPr fontId="3" type="noConversion"/>
  </si>
  <si>
    <r>
      <t>△H</t>
    </r>
    <r>
      <rPr>
        <vertAlign val="subscript"/>
        <sz val="11"/>
        <rFont val="맑은 고딕"/>
        <family val="3"/>
        <charset val="129"/>
        <scheme val="major"/>
      </rPr>
      <t>@</t>
    </r>
    <phoneticPr fontId="3" type="noConversion"/>
  </si>
  <si>
    <r>
      <t>Y</t>
    </r>
    <r>
      <rPr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</si>
  <si>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r>
      <t>r</t>
    </r>
    <r>
      <rPr>
        <vertAlign val="subscript"/>
        <sz val="11"/>
        <rFont val="맑은 고딕"/>
        <family val="3"/>
        <charset val="129"/>
        <scheme val="major"/>
      </rPr>
      <t>0</t>
    </r>
    <phoneticPr fontId="3" type="noConversion"/>
  </si>
  <si>
    <r>
      <t>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</si>
  <si>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CO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</si>
  <si>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</si>
  <si>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r>
      <t>γₒ (kg/m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)</t>
    </r>
    <phoneticPr fontId="19" type="noConversion"/>
  </si>
  <si>
    <r>
      <t>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9" type="noConversion"/>
  </si>
  <si>
    <r>
      <t>CO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9" type="noConversion"/>
  </si>
  <si>
    <r>
      <t>- γₐ: 연소가스 밀도 (kg/Sm</t>
    </r>
    <r>
      <rPr>
        <vertAlign val="superscript"/>
        <sz val="11"/>
        <color theme="1"/>
        <rFont val="맑은 고딕"/>
        <family val="3"/>
        <charset val="129"/>
        <scheme val="major"/>
      </rPr>
      <t>3</t>
    </r>
    <r>
      <rPr>
        <sz val="11"/>
        <color theme="1"/>
        <rFont val="맑은 고딕"/>
        <family val="3"/>
        <charset val="129"/>
        <scheme val="major"/>
      </rPr>
      <t>)</t>
    </r>
    <phoneticPr fontId="19" type="noConversion"/>
  </si>
  <si>
    <r>
      <t>N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9" type="noConversion"/>
  </si>
  <si>
    <r>
      <t>배출가스밀도 (r</t>
    </r>
    <r>
      <rPr>
        <b/>
        <vertAlign val="subscript"/>
        <sz val="11"/>
        <rFont val="맑은 고딕"/>
        <family val="3"/>
        <charset val="129"/>
        <scheme val="major"/>
      </rPr>
      <t>0</t>
    </r>
    <r>
      <rPr>
        <b/>
        <sz val="11"/>
        <rFont val="맑은 고딕"/>
        <family val="3"/>
        <charset val="129"/>
        <scheme val="major"/>
      </rPr>
      <t>)</t>
    </r>
    <phoneticPr fontId="3" type="noConversion"/>
  </si>
  <si>
    <r>
      <t>r</t>
    </r>
    <r>
      <rPr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</si>
  <si>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t>(SL)</t>
    <phoneticPr fontId="3" type="noConversion"/>
  </si>
  <si>
    <r>
      <t>(Sm</t>
    </r>
    <r>
      <rPr>
        <vertAlign val="superscript"/>
        <sz val="11"/>
        <rFont val="맑은 고딕"/>
        <family val="3"/>
        <charset val="129"/>
        <scheme val="major"/>
      </rPr>
      <t>3</t>
    </r>
    <r>
      <rPr>
        <sz val="11"/>
        <rFont val="맑은 고딕"/>
        <family val="3"/>
        <charset val="129"/>
        <scheme val="major"/>
      </rPr>
      <t>)</t>
    </r>
    <phoneticPr fontId="3" type="noConversion"/>
  </si>
  <si>
    <r>
      <t xml:space="preserve"> 배출가스정압 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</si>
  <si>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
동압(mmH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</si>
  <si>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오리피스
압차(mmH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</si>
  <si>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 밀도(kg/m</t>
    </r>
    <r>
      <rPr>
        <vertAlign val="superscript"/>
        <sz val="10"/>
        <rFont val="맑은 고딕"/>
        <family val="3"/>
        <charset val="129"/>
        <scheme val="major"/>
      </rPr>
      <t>3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</si>
  <si>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>mmH</t>
    </r>
    <r>
      <rPr>
        <b/>
        <vertAlign val="subscript"/>
        <sz val="10"/>
        <rFont val="맑은 고딕"/>
        <family val="3"/>
        <charset val="129"/>
        <scheme val="major"/>
      </rPr>
      <t>2</t>
    </r>
    <r>
      <rPr>
        <b/>
        <sz val="10"/>
        <rFont val="맑은 고딕"/>
        <family val="3"/>
        <charset val="129"/>
        <scheme val="major"/>
      </rPr>
      <t>O</t>
    </r>
    <phoneticPr fontId="3" type="noConversion"/>
  </si>
  <si>
    <r>
      <t>면적 (m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</si>
  <si>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 xml:space="preserve">V </t>
    </r>
    <r>
      <rPr>
        <b/>
        <sz val="11"/>
        <rFont val="맑은 고딕"/>
        <family val="3"/>
        <charset val="129"/>
        <scheme val="major"/>
      </rPr>
      <t>=</t>
    </r>
    <phoneticPr fontId="9" type="noConversion"/>
  </si>
  <si>
    <r>
      <t>1.667×10</t>
    </r>
    <r>
      <rPr>
        <vertAlign val="superscript"/>
        <sz val="11"/>
        <rFont val="맑은 고딕"/>
        <family val="3"/>
        <charset val="129"/>
        <scheme val="major"/>
      </rPr>
      <t>4</t>
    </r>
    <phoneticPr fontId="9" type="noConversion"/>
  </si>
  <si>
    <r>
      <t xml:space="preserve"> 배출가스 유량 계산 (Sm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/hr)</t>
    </r>
    <phoneticPr fontId="9" type="noConversion"/>
  </si>
  <si>
    <t>채취시간</t>
    <phoneticPr fontId="3" type="noConversion"/>
  </si>
  <si>
    <t>㈜효창티앤티</t>
    <phoneticPr fontId="3" type="noConversion"/>
  </si>
  <si>
    <t>#A-2</t>
    <phoneticPr fontId="3" type="noConversion"/>
  </si>
  <si>
    <t>권준형 (인)</t>
    <phoneticPr fontId="3" type="noConversion"/>
  </si>
  <si>
    <t>0304-HCT-#A2-P-1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</si>
</sst>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0.000"/>
    <numFmt numFmtId="177" formatCode="0.0"/>
    <numFmt numFmtId="178" formatCode="0.0000"/>
    <numFmt numFmtId="179" formatCode="0.0000_ "/>
    <numFmt numFmtId="180" formatCode="0.0_ "/>
    <numFmt numFmtId="181" formatCode="0.000_ "/>
    <numFmt numFmtId="182" formatCode="0.00_ "/>
    <numFmt numFmtId="183" formatCode="0.00_);[Red]\(0.00\)"/>
    <numFmt numFmtId="184" formatCode="mm&quot;월&quot;\ dd&quot;일&quot;"/>
    <numFmt numFmtId="185" formatCode="yyyy&quot;년&quot;\ m&quot;월&quot;\ d&quot;일&quot;"/>
    <numFmt numFmtId="186" formatCode="#,##0.0_ "/>
    <numFmt numFmtId="187" formatCode="0_);[Red]\(0\)"/>
    <numFmt numFmtId="188" formatCode="0_ "/>
    <numFmt numFmtId="189" formatCode="#,##0.00_ "/>
  </numFmts>
  <fonts count="69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굴림"/>
      <family val="3"/>
      <charset val="129"/>
    </font>
    <font>
      <vertAlign val="superscript"/>
      <sz val="11"/>
      <name val="돋움"/>
      <family val="3"/>
      <charset val="129"/>
    </font>
    <font>
      <sz val="10"/>
      <name val="MS Sans Serif"/>
      <family val="2"/>
    </font>
    <font>
      <b/>
      <sz val="16"/>
      <name val="HY궁서"/>
      <family val="1"/>
      <charset val="129"/>
    </font>
    <font>
      <b/>
      <sz val="11"/>
      <name val="돋움"/>
      <family val="3"/>
      <charset val="129"/>
    </font>
    <font>
      <sz val="8"/>
      <name val="맑은 고딕"/>
      <family val="3"/>
      <charset val="129"/>
    </font>
    <font>
      <b/>
      <sz val="18"/>
      <name val="굴림"/>
      <family val="3"/>
      <charset val="129"/>
    </font>
    <font>
      <sz val="11"/>
      <name val="궁서"/>
      <family val="1"/>
      <charset val="129"/>
    </font>
    <font>
      <sz val="10"/>
      <color indexed="8"/>
      <name val="한컴바탕"/>
      <family val="1"/>
      <charset val="129"/>
    </font>
    <font>
      <sz val="10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8"/>
      <name val="맑은 고딕"/>
      <family val="3"/>
      <charset val="129"/>
      <scheme val="minor"/>
    </font>
    <font>
      <b/>
      <sz val="18"/>
      <color indexed="9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9"/>
      <color indexed="9"/>
      <name val="맑은 고딕"/>
      <family val="3"/>
      <charset val="129"/>
      <scheme val="major"/>
    </font>
    <font>
      <sz val="9"/>
      <color indexed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26"/>
      <name val="맑은 고딕"/>
      <family val="3"/>
      <charset val="129"/>
      <scheme val="minor"/>
    </font>
    <font>
      <b/>
      <sz val="24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vertAlign val="subscript"/>
      <sz val="12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11"/>
      <color rgb="FF0000FF"/>
      <name val="맑은 고딕"/>
      <family val="3"/>
      <charset val="129"/>
      <scheme val="major"/>
    </font>
    <font>
      <b/>
      <sz val="24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9"/>
      <color indexed="10"/>
      <name val="맑은 고딕"/>
      <family val="3"/>
      <charset val="129"/>
      <scheme val="minor"/>
    </font>
    <font>
      <b/>
      <vertAlign val="subscript"/>
      <sz val="9"/>
      <color indexed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vertAlign val="subscript"/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b/>
      <sz val="8"/>
      <name val="맑은 고딕"/>
      <family val="3"/>
      <charset val="129"/>
      <scheme val="major"/>
    </font>
    <font>
      <vertAlign val="subscript"/>
      <sz val="11"/>
      <name val="맑은 고딕"/>
      <family val="3"/>
      <charset val="129"/>
      <scheme val="major"/>
    </font>
    <font>
      <b/>
      <sz val="11"/>
      <color indexed="1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vertAlign val="superscript"/>
      <sz val="11"/>
      <name val="맑은 고딕"/>
      <family val="3"/>
      <charset val="129"/>
      <scheme val="major"/>
    </font>
    <font>
      <b/>
      <sz val="7"/>
      <color theme="1"/>
      <name val="맑은 고딕"/>
      <family val="3"/>
      <charset val="129"/>
      <scheme val="major"/>
    </font>
    <font>
      <vertAlign val="subscript"/>
      <sz val="11"/>
      <color theme="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vertAlign val="superscript"/>
      <sz val="11"/>
      <color theme="1"/>
      <name val="맑은 고딕"/>
      <family val="3"/>
      <charset val="129"/>
      <scheme val="major"/>
    </font>
    <font>
      <b/>
      <vertAlign val="subscript"/>
      <sz val="11"/>
      <name val="맑은 고딕"/>
      <family val="3"/>
      <charset val="129"/>
      <scheme val="major"/>
    </font>
    <font>
      <vertAlign val="superscript"/>
      <sz val="11"/>
      <name val="맑은 고딕"/>
      <family val="3"/>
      <charset val="129"/>
      <scheme val="major"/>
    </font>
    <font>
      <b/>
      <sz val="22"/>
      <name val="맑은 고딕"/>
      <family val="3"/>
      <charset val="129"/>
      <scheme val="major"/>
    </font>
    <font>
      <vertAlign val="subscript"/>
      <sz val="10"/>
      <name val="맑은 고딕"/>
      <family val="3"/>
      <charset val="129"/>
      <scheme val="major"/>
    </font>
    <font>
      <vertAlign val="superscript"/>
      <sz val="10"/>
      <name val="맑은 고딕"/>
      <family val="3"/>
      <charset val="129"/>
      <scheme val="major"/>
    </font>
    <font>
      <b/>
      <vertAlign val="subscript"/>
      <sz val="10"/>
      <name val="맑은 고딕"/>
      <family val="3"/>
      <charset val="129"/>
      <scheme val="major"/>
    </font>
    <font>
      <b/>
      <sz val="11"/>
      <color rgb="FF00B050"/>
      <name val="맑은 고딕"/>
      <family val="3"/>
      <charset val="129"/>
      <scheme val="major"/>
    </font>
    <font>
      <b/>
      <sz val="11"/>
      <color theme="4" tint="-0.249977111117893"/>
      <name val="맑은 고딕"/>
      <family val="3"/>
      <charset val="129"/>
      <scheme val="major"/>
    </font>
    <font>
      <b/>
      <sz val="11"/>
      <color theme="9" tint="-0.249977111117893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sz val="33"/>
      <name val="맑은 고딕"/>
      <family val="3"/>
      <charset val="129"/>
      <scheme val="major"/>
    </font>
    <font>
      <b/>
      <sz val="10"/>
      <color theme="9" tint="-0.249977111117893"/>
      <name val="맑은 고딕"/>
      <family val="3"/>
      <charset val="129"/>
      <scheme val="major"/>
    </font>
    <font>
      <b/>
      <sz val="11"/>
      <color theme="9"/>
      <name val="맑은 고딕"/>
      <family val="3"/>
      <charset val="129"/>
      <scheme val="major"/>
    </font>
  </fonts>
  <fills count="2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3FF"/>
        <bgColor indexed="64"/>
      </patternFill>
    </fill>
    <fill>
      <patternFill patternType="solid">
        <fgColor theme="6" tint="0.39997558519241921"/>
        <bgColor rgb="FFA9D08E"/>
      </patternFill>
    </fill>
    <fill>
      <patternFill patternType="solid">
        <fgColor rgb="FFE2EFDA"/>
        <bgColor rgb="FFE2EFDA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rgb="FFA9D08E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6" fillId="0" borderId="0"/>
    <xf numFmtId="0" fontId="2" fillId="0" borderId="0"/>
    <xf numFmtId="0" fontId="1" fillId="0" borderId="0"/>
    <xf numFmtId="0" fontId="13" fillId="0" borderId="0"/>
    <xf numFmtId="0" fontId="1" fillId="0" borderId="0"/>
  </cellStyleXfs>
  <cellXfs count="580">
    <xf numFmtId="0" fontId="0" fillId="0" borderId="0" xfId="0">
      <alignment vertical="center"/>
    </xf>
    <xf numFmtId="0" fontId="7" fillId="0" borderId="0" xfId="3" applyFont="1" applyAlignment="1">
      <alignment horizontal="centerContinuous" vertical="center"/>
    </xf>
    <xf numFmtId="0" fontId="1" fillId="0" borderId="0" xfId="3" applyAlignment="1">
      <alignment vertical="center"/>
    </xf>
    <xf numFmtId="0" fontId="8" fillId="0" borderId="0" xfId="3" applyFont="1" applyAlignment="1">
      <alignment vertical="center"/>
    </xf>
    <xf numFmtId="0" fontId="1" fillId="0" borderId="17" xfId="3" applyBorder="1" applyAlignment="1">
      <alignment vertical="center"/>
    </xf>
    <xf numFmtId="0" fontId="1" fillId="0" borderId="18" xfId="3" applyBorder="1" applyAlignment="1">
      <alignment vertical="center"/>
    </xf>
    <xf numFmtId="177" fontId="1" fillId="0" borderId="18" xfId="3" applyNumberFormat="1" applyBorder="1" applyAlignment="1">
      <alignment vertical="center"/>
    </xf>
    <xf numFmtId="177" fontId="1" fillId="0" borderId="17" xfId="3" applyNumberFormat="1" applyBorder="1" applyAlignment="1">
      <alignment vertical="center"/>
    </xf>
    <xf numFmtId="0" fontId="0" fillId="0" borderId="0" xfId="3" applyFont="1" applyAlignment="1">
      <alignment vertical="center"/>
    </xf>
    <xf numFmtId="0" fontId="2" fillId="0" borderId="0" xfId="2"/>
    <xf numFmtId="0" fontId="2" fillId="0" borderId="0" xfId="2" applyAlignment="1">
      <alignment horizontal="centerContinuous"/>
    </xf>
    <xf numFmtId="0" fontId="11" fillId="0" borderId="0" xfId="2" applyFont="1"/>
    <xf numFmtId="0" fontId="12" fillId="0" borderId="0" xfId="0" applyFont="1" applyAlignment="1">
      <alignment horizontal="justify" vertical="center"/>
    </xf>
    <xf numFmtId="0" fontId="0" fillId="0" borderId="17" xfId="3" applyFont="1" applyBorder="1" applyAlignment="1">
      <alignment vertical="center"/>
    </xf>
    <xf numFmtId="0" fontId="0" fillId="0" borderId="18" xfId="3" applyFont="1" applyBorder="1" applyAlignment="1">
      <alignment vertical="center"/>
    </xf>
    <xf numFmtId="0" fontId="10" fillId="0" borderId="0" xfId="2" applyFont="1"/>
    <xf numFmtId="0" fontId="0" fillId="0" borderId="0" xfId="2" applyFont="1"/>
    <xf numFmtId="0" fontId="21" fillId="0" borderId="0" xfId="5" applyFont="1" applyAlignment="1" applyProtection="1">
      <alignment vertical="center"/>
      <protection hidden="1"/>
    </xf>
    <xf numFmtId="0" fontId="21" fillId="4" borderId="0" xfId="5" applyFont="1" applyFill="1" applyAlignment="1" applyProtection="1">
      <alignment vertical="center"/>
      <protection locked="0"/>
    </xf>
    <xf numFmtId="0" fontId="23" fillId="0" borderId="0" xfId="5" applyFont="1" applyAlignment="1" applyProtection="1">
      <alignment horizontal="center" vertical="center"/>
      <protection hidden="1"/>
    </xf>
    <xf numFmtId="0" fontId="23" fillId="0" borderId="0" xfId="5" applyFont="1" applyAlignment="1" applyProtection="1">
      <alignment vertical="center"/>
      <protection hidden="1"/>
    </xf>
    <xf numFmtId="0" fontId="24" fillId="10" borderId="50" xfId="5" applyFont="1" applyFill="1" applyBorder="1" applyAlignment="1" applyProtection="1">
      <alignment horizontal="center" vertical="center"/>
      <protection hidden="1"/>
    </xf>
    <xf numFmtId="0" fontId="25" fillId="10" borderId="50" xfId="5" applyFont="1" applyFill="1" applyBorder="1" applyAlignment="1" applyProtection="1">
      <alignment horizontal="center" vertical="center"/>
      <protection hidden="1"/>
    </xf>
    <xf numFmtId="0" fontId="26" fillId="0" borderId="0" xfId="5" applyFont="1" applyAlignment="1" applyProtection="1">
      <alignment vertical="center"/>
      <protection hidden="1"/>
    </xf>
    <xf numFmtId="0" fontId="23" fillId="8" borderId="5" xfId="5" applyFont="1" applyFill="1" applyBorder="1" applyAlignment="1" applyProtection="1">
      <alignment horizontal="center" vertical="center"/>
      <protection hidden="1"/>
    </xf>
    <xf numFmtId="2" fontId="23" fillId="8" borderId="5" xfId="5" applyNumberFormat="1" applyFont="1" applyFill="1" applyBorder="1" applyAlignment="1" applyProtection="1">
      <alignment horizontal="center" vertical="center"/>
      <protection hidden="1"/>
    </xf>
    <xf numFmtId="177" fontId="23" fillId="8" borderId="5" xfId="5" applyNumberFormat="1" applyFont="1" applyFill="1" applyBorder="1" applyAlignment="1" applyProtection="1">
      <alignment horizontal="center" vertical="center"/>
      <protection hidden="1"/>
    </xf>
    <xf numFmtId="0" fontId="23" fillId="8" borderId="1" xfId="5" applyFont="1" applyFill="1" applyBorder="1" applyAlignment="1" applyProtection="1">
      <alignment horizontal="center" vertical="center"/>
      <protection hidden="1"/>
    </xf>
    <xf numFmtId="177" fontId="23" fillId="8" borderId="1" xfId="5" applyNumberFormat="1" applyFont="1" applyFill="1" applyBorder="1" applyAlignment="1" applyProtection="1">
      <alignment horizontal="center" vertical="center"/>
      <protection hidden="1"/>
    </xf>
    <xf numFmtId="0" fontId="23" fillId="8" borderId="50" xfId="5" applyFont="1" applyFill="1" applyBorder="1" applyAlignment="1" applyProtection="1">
      <alignment horizontal="center" vertical="center"/>
      <protection hidden="1"/>
    </xf>
    <xf numFmtId="177" fontId="23" fillId="8" borderId="50" xfId="5" applyNumberFormat="1" applyFont="1" applyFill="1" applyBorder="1" applyAlignment="1" applyProtection="1">
      <alignment horizontal="center" vertical="center"/>
      <protection hidden="1"/>
    </xf>
    <xf numFmtId="20" fontId="23" fillId="9" borderId="51" xfId="5" applyNumberFormat="1" applyFont="1" applyFill="1" applyBorder="1" applyAlignment="1" applyProtection="1">
      <alignment horizontal="center" vertical="center"/>
      <protection locked="0"/>
    </xf>
    <xf numFmtId="189" fontId="23" fillId="9" borderId="51" xfId="5" applyNumberFormat="1" applyFont="1" applyFill="1" applyBorder="1" applyAlignment="1" applyProtection="1">
      <alignment horizontal="center" vertical="center"/>
      <protection locked="0"/>
    </xf>
    <xf numFmtId="186" fontId="23" fillId="9" borderId="51" xfId="5" applyNumberFormat="1" applyFont="1" applyFill="1" applyBorder="1" applyAlignment="1" applyProtection="1">
      <alignment horizontal="center" vertical="center"/>
      <protection locked="0"/>
    </xf>
    <xf numFmtId="20" fontId="23" fillId="9" borderId="52" xfId="5" applyNumberFormat="1" applyFont="1" applyFill="1" applyBorder="1" applyAlignment="1" applyProtection="1">
      <alignment horizontal="center" vertical="center"/>
      <protection locked="0"/>
    </xf>
    <xf numFmtId="189" fontId="23" fillId="9" borderId="52" xfId="5" applyNumberFormat="1" applyFont="1" applyFill="1" applyBorder="1" applyAlignment="1" applyProtection="1">
      <alignment horizontal="center" vertical="center"/>
      <protection locked="0"/>
    </xf>
    <xf numFmtId="186" fontId="23" fillId="9" borderId="52" xfId="5" applyNumberFormat="1" applyFont="1" applyFill="1" applyBorder="1" applyAlignment="1" applyProtection="1">
      <alignment horizontal="center" vertical="center"/>
      <protection locked="0"/>
    </xf>
    <xf numFmtId="0" fontId="21" fillId="9" borderId="0" xfId="5" applyFont="1" applyFill="1" applyAlignment="1" applyProtection="1">
      <alignment vertical="center"/>
      <protection hidden="1"/>
    </xf>
    <xf numFmtId="0" fontId="21" fillId="0" borderId="0" xfId="0" applyFont="1">
      <alignment vertical="center"/>
    </xf>
    <xf numFmtId="0" fontId="27" fillId="0" borderId="0" xfId="0" applyFont="1">
      <alignment vertical="center"/>
    </xf>
    <xf numFmtId="0" fontId="28" fillId="0" borderId="0" xfId="2" applyFont="1" applyAlignment="1">
      <alignment horizontal="center" vertical="center"/>
    </xf>
    <xf numFmtId="0" fontId="28" fillId="0" borderId="0" xfId="2" applyFont="1" applyAlignme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21" fillId="0" borderId="0" xfId="0" applyFont="1" applyAlignment="1">
      <alignment horizontal="left" vertical="center" wrapText="1"/>
    </xf>
    <xf numFmtId="0" fontId="32" fillId="8" borderId="1" xfId="0" applyFont="1" applyFill="1" applyBorder="1">
      <alignment vertical="center"/>
    </xf>
    <xf numFmtId="0" fontId="32" fillId="8" borderId="1" xfId="0" applyFont="1" applyFill="1" applyBorder="1" applyAlignment="1">
      <alignment horizontal="center" vertical="center"/>
    </xf>
    <xf numFmtId="0" fontId="21" fillId="0" borderId="1" xfId="0" applyFont="1" applyBorder="1">
      <alignment vertical="center"/>
    </xf>
    <xf numFmtId="0" fontId="2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3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34" fillId="8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43" xfId="0" applyFont="1" applyBorder="1" applyAlignment="1">
      <alignment horizontal="center" vertical="center"/>
    </xf>
    <xf numFmtId="187" fontId="21" fillId="0" borderId="0" xfId="0" applyNumberFormat="1" applyFont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3" fillId="0" borderId="44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3" fillId="7" borderId="3" xfId="0" applyFont="1" applyFill="1" applyBorder="1" applyAlignment="1">
      <alignment horizontal="center" vertical="center"/>
    </xf>
    <xf numFmtId="178" fontId="21" fillId="0" borderId="0" xfId="0" applyNumberFormat="1" applyFont="1">
      <alignment vertical="center"/>
    </xf>
    <xf numFmtId="0" fontId="21" fillId="7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0" fontId="33" fillId="0" borderId="9" xfId="0" applyFont="1" applyBorder="1" applyAlignment="1" applyProtection="1">
      <alignment horizontal="center" vertical="center"/>
      <protection locked="0"/>
    </xf>
    <xf numFmtId="183" fontId="33" fillId="0" borderId="10" xfId="1" applyNumberFormat="1" applyFont="1" applyBorder="1" applyAlignment="1" applyProtection="1">
      <alignment horizontal="center" vertical="center"/>
      <protection locked="0"/>
    </xf>
    <xf numFmtId="0" fontId="21" fillId="0" borderId="9" xfId="0" applyFont="1" applyBorder="1" applyAlignment="1" applyProtection="1">
      <alignment horizontal="center" vertical="center"/>
      <protection locked="0"/>
    </xf>
    <xf numFmtId="183" fontId="33" fillId="0" borderId="5" xfId="1" applyNumberFormat="1" applyFont="1" applyBorder="1" applyAlignment="1" applyProtection="1">
      <alignment horizontal="center" vertical="center"/>
      <protection locked="0"/>
    </xf>
    <xf numFmtId="182" fontId="33" fillId="7" borderId="29" xfId="1" applyNumberFormat="1" applyFont="1" applyFill="1" applyBorder="1" applyAlignment="1" applyProtection="1">
      <alignment horizontal="center" vertical="center"/>
      <protection locked="0"/>
    </xf>
    <xf numFmtId="182" fontId="37" fillId="0" borderId="0" xfId="0" applyNumberFormat="1" applyFont="1" applyAlignment="1">
      <alignment horizontal="center" vertical="center"/>
    </xf>
    <xf numFmtId="183" fontId="36" fillId="0" borderId="0" xfId="0" applyNumberFormat="1" applyFont="1" applyAlignment="1">
      <alignment horizontal="center" vertical="center"/>
    </xf>
    <xf numFmtId="182" fontId="33" fillId="7" borderId="8" xfId="1" applyNumberFormat="1" applyFont="1" applyFill="1" applyBorder="1" applyAlignment="1" applyProtection="1">
      <alignment horizontal="center" vertical="center"/>
      <protection locked="0"/>
    </xf>
    <xf numFmtId="183" fontId="33" fillId="0" borderId="10" xfId="0" applyNumberFormat="1" applyFont="1" applyBorder="1" applyAlignment="1" applyProtection="1">
      <alignment horizontal="center" vertical="center"/>
      <protection locked="0"/>
    </xf>
    <xf numFmtId="0" fontId="33" fillId="0" borderId="14" xfId="0" applyFont="1" applyBorder="1" applyAlignment="1" applyProtection="1">
      <alignment horizontal="center" vertical="center"/>
      <protection locked="0"/>
    </xf>
    <xf numFmtId="183" fontId="33" fillId="0" borderId="16" xfId="0" applyNumberFormat="1" applyFont="1" applyBorder="1" applyAlignment="1" applyProtection="1">
      <alignment horizontal="center" vertical="center"/>
      <protection locked="0"/>
    </xf>
    <xf numFmtId="0" fontId="21" fillId="0" borderId="14" xfId="0" applyFont="1" applyBorder="1" applyAlignment="1" applyProtection="1">
      <alignment horizontal="center" vertical="center"/>
      <protection locked="0"/>
    </xf>
    <xf numFmtId="183" fontId="33" fillId="0" borderId="15" xfId="1" applyNumberFormat="1" applyFont="1" applyBorder="1" applyAlignment="1" applyProtection="1">
      <alignment horizontal="center" vertical="center"/>
      <protection locked="0"/>
    </xf>
    <xf numFmtId="182" fontId="33" fillId="7" borderId="3" xfId="1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Border="1" applyAlignment="1">
      <alignment vertical="center"/>
    </xf>
    <xf numFmtId="0" fontId="38" fillId="0" borderId="0" xfId="0" applyFont="1" applyAlignment="1">
      <alignment horizontal="center" vertical="center"/>
    </xf>
    <xf numFmtId="0" fontId="39" fillId="0" borderId="1" xfId="0" applyFont="1" applyBorder="1">
      <alignment vertical="center"/>
    </xf>
    <xf numFmtId="0" fontId="39" fillId="0" borderId="0" xfId="0" applyFont="1">
      <alignment vertical="center"/>
    </xf>
    <xf numFmtId="0" fontId="27" fillId="8" borderId="1" xfId="0" applyFont="1" applyFill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9" borderId="1" xfId="0" applyFont="1" applyFill="1" applyBorder="1">
      <alignment vertical="center"/>
    </xf>
    <xf numFmtId="177" fontId="27" fillId="0" borderId="1" xfId="0" applyNumberFormat="1" applyFont="1" applyBorder="1">
      <alignment vertical="center"/>
    </xf>
    <xf numFmtId="0" fontId="27" fillId="2" borderId="12" xfId="0" applyFont="1" applyFill="1" applyBorder="1">
      <alignment vertical="center"/>
    </xf>
    <xf numFmtId="0" fontId="27" fillId="2" borderId="12" xfId="0" applyFont="1" applyFill="1" applyBorder="1" applyAlignment="1">
      <alignment horizontal="center" vertical="center"/>
    </xf>
    <xf numFmtId="182" fontId="27" fillId="9" borderId="38" xfId="0" applyNumberFormat="1" applyFont="1" applyFill="1" applyBorder="1">
      <alignment vertical="center"/>
    </xf>
    <xf numFmtId="182" fontId="27" fillId="9" borderId="40" xfId="0" applyNumberFormat="1" applyFont="1" applyFill="1" applyBorder="1" applyAlignment="1">
      <alignment horizontal="center" vertical="center"/>
    </xf>
    <xf numFmtId="182" fontId="27" fillId="0" borderId="0" xfId="0" applyNumberFormat="1" applyFont="1" applyAlignment="1">
      <alignment horizontal="center" vertical="center"/>
    </xf>
    <xf numFmtId="182" fontId="27" fillId="9" borderId="53" xfId="0" applyNumberFormat="1" applyFont="1" applyFill="1" applyBorder="1">
      <alignment vertical="center"/>
    </xf>
    <xf numFmtId="182" fontId="27" fillId="9" borderId="1" xfId="0" applyNumberFormat="1" applyFont="1" applyFill="1" applyBorder="1" applyAlignment="1">
      <alignment horizontal="center" vertical="center"/>
    </xf>
    <xf numFmtId="182" fontId="27" fillId="9" borderId="54" xfId="0" applyNumberFormat="1" applyFont="1" applyFill="1" applyBorder="1">
      <alignment vertical="center"/>
    </xf>
    <xf numFmtId="182" fontId="27" fillId="9" borderId="2" xfId="0" applyNumberFormat="1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 shrinkToFit="1"/>
    </xf>
    <xf numFmtId="0" fontId="27" fillId="2" borderId="13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7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15" xfId="0" applyFont="1" applyFill="1" applyBorder="1" applyAlignment="1">
      <alignment horizontal="center" vertical="center" shrinkToFit="1"/>
    </xf>
    <xf numFmtId="0" fontId="27" fillId="2" borderId="15" xfId="0" applyFont="1" applyFill="1" applyBorder="1" applyAlignment="1">
      <alignment horizontal="center" vertical="center"/>
    </xf>
    <xf numFmtId="0" fontId="27" fillId="2" borderId="16" xfId="0" applyFont="1" applyFill="1" applyBorder="1" applyAlignment="1">
      <alignment horizontal="center" vertical="center"/>
    </xf>
    <xf numFmtId="20" fontId="27" fillId="0" borderId="0" xfId="0" applyNumberFormat="1" applyFont="1">
      <alignment vertical="center"/>
    </xf>
    <xf numFmtId="177" fontId="27" fillId="0" borderId="0" xfId="0" applyNumberFormat="1" applyFont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182" fontId="27" fillId="9" borderId="38" xfId="0" applyNumberFormat="1" applyFont="1" applyFill="1" applyBorder="1" applyAlignment="1">
      <alignment horizontal="center" vertical="center"/>
    </xf>
    <xf numFmtId="182" fontId="27" fillId="0" borderId="0" xfId="0" applyNumberFormat="1" applyFont="1">
      <alignment vertical="center"/>
    </xf>
    <xf numFmtId="182" fontId="27" fillId="9" borderId="53" xfId="0" applyNumberFormat="1" applyFont="1" applyFill="1" applyBorder="1" applyAlignment="1">
      <alignment horizontal="center" vertical="center"/>
    </xf>
    <xf numFmtId="182" fontId="27" fillId="9" borderId="54" xfId="0" applyNumberFormat="1" applyFont="1" applyFill="1" applyBorder="1" applyAlignment="1">
      <alignment horizontal="center" vertical="center"/>
    </xf>
    <xf numFmtId="0" fontId="27" fillId="0" borderId="26" xfId="0" applyFont="1" applyBorder="1">
      <alignment vertical="center"/>
    </xf>
    <xf numFmtId="0" fontId="27" fillId="0" borderId="27" xfId="0" applyFont="1" applyBorder="1">
      <alignment vertical="center"/>
    </xf>
    <xf numFmtId="0" fontId="27" fillId="0" borderId="61" xfId="0" applyFont="1" applyBorder="1">
      <alignment vertical="center"/>
    </xf>
    <xf numFmtId="0" fontId="39" fillId="8" borderId="1" xfId="0" applyFont="1" applyFill="1" applyBorder="1" applyAlignment="1">
      <alignment horizontal="center" vertical="center"/>
    </xf>
    <xf numFmtId="0" fontId="21" fillId="0" borderId="62" xfId="0" applyFont="1" applyBorder="1">
      <alignment vertical="center"/>
    </xf>
    <xf numFmtId="0" fontId="21" fillId="0" borderId="25" xfId="0" applyFont="1" applyBorder="1">
      <alignment vertical="center"/>
    </xf>
    <xf numFmtId="0" fontId="21" fillId="0" borderId="63" xfId="0" applyFont="1" applyBorder="1">
      <alignment vertical="center"/>
    </xf>
    <xf numFmtId="0" fontId="21" fillId="0" borderId="57" xfId="0" applyFont="1" applyBorder="1">
      <alignment vertical="center"/>
    </xf>
    <xf numFmtId="0" fontId="21" fillId="0" borderId="20" xfId="0" applyFont="1" applyBorder="1">
      <alignment vertical="center"/>
    </xf>
    <xf numFmtId="0" fontId="44" fillId="0" borderId="55" xfId="0" applyFont="1" applyBorder="1" applyAlignment="1">
      <alignment horizontal="center" vertical="center"/>
    </xf>
    <xf numFmtId="0" fontId="45" fillId="9" borderId="48" xfId="0" applyFont="1" applyFill="1" applyBorder="1" applyAlignment="1">
      <alignment horizontal="center" vertical="center"/>
    </xf>
    <xf numFmtId="0" fontId="21" fillId="2" borderId="11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center" vertical="center" shrinkToFit="1"/>
    </xf>
    <xf numFmtId="0" fontId="21" fillId="2" borderId="14" xfId="0" applyFont="1" applyFill="1" applyBorder="1" applyAlignment="1">
      <alignment horizontal="center" vertical="center"/>
    </xf>
    <xf numFmtId="0" fontId="21" fillId="2" borderId="15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1" fillId="2" borderId="12" xfId="0" applyFont="1" applyFill="1" applyBorder="1" applyAlignment="1">
      <alignment horizontal="center" vertical="center"/>
    </xf>
    <xf numFmtId="0" fontId="21" fillId="11" borderId="12" xfId="0" applyFont="1" applyFill="1" applyBorder="1" applyAlignment="1">
      <alignment horizontal="center" vertical="center"/>
    </xf>
    <xf numFmtId="0" fontId="21" fillId="2" borderId="4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 vertical="center"/>
    </xf>
    <xf numFmtId="0" fontId="21" fillId="2" borderId="59" xfId="0" applyFont="1" applyFill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0" xfId="0" applyFont="1" applyAlignment="1"/>
    <xf numFmtId="0" fontId="48" fillId="0" borderId="0" xfId="0" applyFont="1" applyAlignment="1">
      <alignment horizontal="center"/>
    </xf>
    <xf numFmtId="182" fontId="21" fillId="0" borderId="0" xfId="0" applyNumberFormat="1" applyFont="1" applyFill="1" applyAlignment="1">
      <alignment horizontal="center" vertical="center"/>
    </xf>
    <xf numFmtId="0" fontId="49" fillId="0" borderId="0" xfId="0" applyFont="1" applyAlignment="1"/>
    <xf numFmtId="0" fontId="48" fillId="0" borderId="0" xfId="0" applyFont="1" applyAlignment="1"/>
    <xf numFmtId="0" fontId="32" fillId="18" borderId="1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2" fontId="48" fillId="0" borderId="1" xfId="0" applyNumberFormat="1" applyFont="1" applyBorder="1" applyAlignment="1">
      <alignment horizontal="center" vertical="center"/>
    </xf>
    <xf numFmtId="0" fontId="48" fillId="20" borderId="71" xfId="0" applyFont="1" applyFill="1" applyBorder="1" applyAlignment="1">
      <alignment horizontal="center"/>
    </xf>
    <xf numFmtId="0" fontId="48" fillId="20" borderId="0" xfId="0" applyFont="1" applyFill="1" applyAlignment="1"/>
    <xf numFmtId="0" fontId="48" fillId="20" borderId="0" xfId="0" applyFont="1" applyFill="1" applyAlignment="1">
      <alignment horizontal="center"/>
    </xf>
    <xf numFmtId="0" fontId="48" fillId="20" borderId="7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48" fillId="20" borderId="0" xfId="0" quotePrefix="1" applyFont="1" applyFill="1" applyAlignment="1">
      <alignment horizontal="center"/>
    </xf>
    <xf numFmtId="182" fontId="21" fillId="0" borderId="0" xfId="0" applyNumberFormat="1" applyFont="1" applyAlignment="1">
      <alignment horizontal="center" vertical="center"/>
    </xf>
    <xf numFmtId="0" fontId="48" fillId="20" borderId="73" xfId="0" applyFont="1" applyFill="1" applyBorder="1" applyAlignment="1">
      <alignment horizontal="center"/>
    </xf>
    <xf numFmtId="0" fontId="48" fillId="20" borderId="74" xfId="0" applyFont="1" applyFill="1" applyBorder="1" applyAlignment="1"/>
    <xf numFmtId="0" fontId="48" fillId="20" borderId="74" xfId="0" applyFont="1" applyFill="1" applyBorder="1" applyAlignment="1">
      <alignment horizontal="center"/>
    </xf>
    <xf numFmtId="0" fontId="48" fillId="20" borderId="75" xfId="0" applyFont="1" applyFill="1" applyBorder="1" applyAlignment="1">
      <alignment horizontal="center"/>
    </xf>
    <xf numFmtId="180" fontId="21" fillId="23" borderId="64" xfId="0" applyNumberFormat="1" applyFont="1" applyFill="1" applyBorder="1" applyAlignment="1">
      <alignment horizontal="center" vertical="center"/>
    </xf>
    <xf numFmtId="180" fontId="21" fillId="0" borderId="34" xfId="0" applyNumberFormat="1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83" fontId="21" fillId="0" borderId="5" xfId="0" applyNumberFormat="1" applyFont="1" applyBorder="1" applyAlignment="1">
      <alignment horizontal="center" vertical="center"/>
    </xf>
    <xf numFmtId="182" fontId="21" fillId="0" borderId="5" xfId="0" applyNumberFormat="1" applyFont="1" applyBorder="1">
      <alignment vertical="center"/>
    </xf>
    <xf numFmtId="182" fontId="32" fillId="6" borderId="5" xfId="0" applyNumberFormat="1" applyFont="1" applyFill="1" applyBorder="1">
      <alignment vertical="center"/>
    </xf>
    <xf numFmtId="180" fontId="21" fillId="0" borderId="5" xfId="0" applyNumberFormat="1" applyFont="1" applyBorder="1">
      <alignment vertical="center"/>
    </xf>
    <xf numFmtId="181" fontId="21" fillId="12" borderId="10" xfId="0" applyNumberFormat="1" applyFont="1" applyFill="1" applyBorder="1">
      <alignment vertical="center"/>
    </xf>
    <xf numFmtId="188" fontId="32" fillId="0" borderId="28" xfId="0" applyNumberFormat="1" applyFont="1" applyBorder="1" applyAlignment="1">
      <alignment horizontal="center" vertical="center"/>
    </xf>
    <xf numFmtId="183" fontId="21" fillId="0" borderId="1" xfId="0" applyNumberFormat="1" applyFont="1" applyBorder="1" applyAlignment="1">
      <alignment horizontal="center" vertical="center"/>
    </xf>
    <xf numFmtId="182" fontId="21" fillId="0" borderId="1" xfId="0" applyNumberFormat="1" applyFont="1" applyBorder="1">
      <alignment vertical="center"/>
    </xf>
    <xf numFmtId="182" fontId="32" fillId="6" borderId="1" xfId="0" applyNumberFormat="1" applyFont="1" applyFill="1" applyBorder="1">
      <alignment vertical="center"/>
    </xf>
    <xf numFmtId="180" fontId="21" fillId="0" borderId="1" xfId="0" applyNumberFormat="1" applyFont="1" applyBorder="1">
      <alignment vertical="center"/>
    </xf>
    <xf numFmtId="181" fontId="21" fillId="12" borderId="8" xfId="0" applyNumberFormat="1" applyFont="1" applyFill="1" applyBorder="1">
      <alignment vertical="center"/>
    </xf>
    <xf numFmtId="183" fontId="21" fillId="5" borderId="1" xfId="0" applyNumberFormat="1" applyFont="1" applyFill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83" fontId="21" fillId="0" borderId="2" xfId="0" applyNumberFormat="1" applyFont="1" applyBorder="1" applyAlignment="1">
      <alignment horizontal="center" vertical="center"/>
    </xf>
    <xf numFmtId="182" fontId="21" fillId="0" borderId="2" xfId="0" applyNumberFormat="1" applyFont="1" applyBorder="1">
      <alignment vertical="center"/>
    </xf>
    <xf numFmtId="182" fontId="32" fillId="6" borderId="2" xfId="0" applyNumberFormat="1" applyFont="1" applyFill="1" applyBorder="1">
      <alignment vertical="center"/>
    </xf>
    <xf numFmtId="180" fontId="21" fillId="0" borderId="2" xfId="0" applyNumberFormat="1" applyFont="1" applyBorder="1">
      <alignment vertical="center"/>
    </xf>
    <xf numFmtId="181" fontId="21" fillId="12" borderId="3" xfId="0" applyNumberFormat="1" applyFont="1" applyFill="1" applyBorder="1">
      <alignment vertical="center"/>
    </xf>
    <xf numFmtId="179" fontId="21" fillId="5" borderId="1" xfId="0" applyNumberFormat="1" applyFont="1" applyFill="1" applyBorder="1" applyAlignment="1">
      <alignment horizontal="center" vertical="center"/>
    </xf>
    <xf numFmtId="178" fontId="21" fillId="5" borderId="1" xfId="0" applyNumberFormat="1" applyFont="1" applyFill="1" applyBorder="1" applyAlignment="1">
      <alignment horizontal="center" vertical="center"/>
    </xf>
    <xf numFmtId="178" fontId="21" fillId="0" borderId="1" xfId="0" applyNumberFormat="1" applyFont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21" fillId="5" borderId="0" xfId="3" applyFont="1" applyFill="1" applyAlignment="1" applyProtection="1">
      <alignment vertical="center"/>
      <protection locked="0"/>
    </xf>
    <xf numFmtId="182" fontId="23" fillId="5" borderId="0" xfId="3" applyNumberFormat="1" applyFont="1" applyFill="1" applyAlignment="1" applyProtection="1">
      <alignment horizontal="center" vertical="center"/>
      <protection locked="0"/>
    </xf>
    <xf numFmtId="2" fontId="23" fillId="5" borderId="0" xfId="3" applyNumberFormat="1" applyFont="1" applyFill="1" applyAlignment="1" applyProtection="1">
      <alignment vertical="center"/>
      <protection locked="0"/>
    </xf>
    <xf numFmtId="176" fontId="23" fillId="5" borderId="0" xfId="3" applyNumberFormat="1" applyFont="1" applyFill="1" applyAlignment="1" applyProtection="1">
      <alignment vertical="center"/>
      <protection locked="0"/>
    </xf>
    <xf numFmtId="0" fontId="21" fillId="5" borderId="0" xfId="3" applyFont="1" applyFill="1" applyAlignment="1" applyProtection="1">
      <alignment horizontal="center" vertical="center" wrapText="1"/>
      <protection locked="0"/>
    </xf>
    <xf numFmtId="0" fontId="23" fillId="5" borderId="0" xfId="3" applyFont="1" applyFill="1" applyAlignment="1" applyProtection="1">
      <alignment vertical="center"/>
      <protection locked="0"/>
    </xf>
    <xf numFmtId="178" fontId="23" fillId="5" borderId="0" xfId="3" applyNumberFormat="1" applyFont="1" applyFill="1" applyAlignment="1" applyProtection="1">
      <alignment vertical="center"/>
      <protection locked="0"/>
    </xf>
    <xf numFmtId="0" fontId="21" fillId="5" borderId="0" xfId="3" applyFont="1" applyFill="1" applyAlignment="1" applyProtection="1">
      <alignment horizontal="center" vertical="center"/>
      <protection locked="0"/>
    </xf>
    <xf numFmtId="1" fontId="23" fillId="5" borderId="0" xfId="3" applyNumberFormat="1" applyFont="1" applyFill="1" applyAlignment="1" applyProtection="1">
      <alignment vertical="center"/>
      <protection locked="0"/>
    </xf>
    <xf numFmtId="2" fontId="23" fillId="0" borderId="1" xfId="3" applyNumberFormat="1" applyFont="1" applyBorder="1" applyAlignment="1" applyProtection="1">
      <alignment horizontal="center" vertical="center"/>
      <protection locked="0"/>
    </xf>
    <xf numFmtId="0" fontId="21" fillId="5" borderId="0" xfId="3" applyFont="1" applyFill="1" applyAlignment="1" applyProtection="1">
      <alignment vertical="center" wrapText="1"/>
      <protection locked="0"/>
    </xf>
    <xf numFmtId="176" fontId="23" fillId="0" borderId="1" xfId="3" applyNumberFormat="1" applyFont="1" applyBorder="1" applyAlignment="1">
      <alignment horizontal="center" vertical="center"/>
    </xf>
    <xf numFmtId="0" fontId="23" fillId="0" borderId="1" xfId="3" applyFont="1" applyBorder="1" applyAlignment="1" applyProtection="1">
      <alignment horizontal="center" vertical="center"/>
      <protection locked="0"/>
    </xf>
    <xf numFmtId="0" fontId="23" fillId="5" borderId="0" xfId="3" applyFont="1" applyFill="1" applyAlignment="1" applyProtection="1">
      <alignment horizontal="center" vertical="center" wrapText="1"/>
      <protection locked="0"/>
    </xf>
    <xf numFmtId="0" fontId="23" fillId="0" borderId="6" xfId="3" applyFont="1" applyBorder="1" applyAlignment="1" applyProtection="1">
      <alignment horizontal="center" vertical="center" wrapText="1"/>
      <protection locked="0"/>
    </xf>
    <xf numFmtId="0" fontId="23" fillId="8" borderId="1" xfId="3" applyFont="1" applyFill="1" applyBorder="1" applyAlignment="1" applyProtection="1">
      <alignment horizontal="center" vertical="center"/>
      <protection locked="0"/>
    </xf>
    <xf numFmtId="177" fontId="23" fillId="0" borderId="1" xfId="3" applyNumberFormat="1" applyFont="1" applyBorder="1" applyAlignment="1" applyProtection="1">
      <alignment horizontal="center" vertical="center" wrapText="1"/>
      <protection locked="0"/>
    </xf>
    <xf numFmtId="177" fontId="22" fillId="8" borderId="1" xfId="3" applyNumberFormat="1" applyFont="1" applyFill="1" applyBorder="1" applyAlignment="1" applyProtection="1">
      <alignment horizontal="center" vertical="center"/>
      <protection locked="0"/>
    </xf>
    <xf numFmtId="0" fontId="23" fillId="0" borderId="1" xfId="3" applyFont="1" applyBorder="1" applyAlignment="1" applyProtection="1">
      <alignment horizontal="center" vertical="center" wrapText="1"/>
      <protection locked="0"/>
    </xf>
    <xf numFmtId="0" fontId="21" fillId="0" borderId="1" xfId="3" applyFont="1" applyBorder="1" applyAlignment="1" applyProtection="1">
      <alignment vertical="center"/>
      <protection locked="0"/>
    </xf>
    <xf numFmtId="0" fontId="23" fillId="16" borderId="6" xfId="3" applyFont="1" applyFill="1" applyBorder="1" applyAlignment="1" applyProtection="1">
      <alignment horizontal="center" vertical="center"/>
      <protection locked="0"/>
    </xf>
    <xf numFmtId="0" fontId="23" fillId="16" borderId="1" xfId="3" applyFont="1" applyFill="1" applyBorder="1" applyAlignment="1" applyProtection="1">
      <alignment horizontal="center" vertical="center"/>
      <protection locked="0"/>
    </xf>
    <xf numFmtId="188" fontId="23" fillId="16" borderId="1" xfId="3" applyNumberFormat="1" applyFont="1" applyFill="1" applyBorder="1" applyAlignment="1" applyProtection="1">
      <alignment horizontal="center" vertical="center"/>
      <protection locked="0"/>
    </xf>
    <xf numFmtId="182" fontId="23" fillId="16" borderId="1" xfId="3" applyNumberFormat="1" applyFont="1" applyFill="1" applyBorder="1" applyAlignment="1" applyProtection="1">
      <alignment horizontal="center" vertical="center"/>
      <protection locked="0"/>
    </xf>
    <xf numFmtId="180" fontId="23" fillId="16" borderId="1" xfId="3" applyNumberFormat="1" applyFont="1" applyFill="1" applyBorder="1" applyAlignment="1" applyProtection="1">
      <alignment horizontal="center" vertical="center"/>
      <protection locked="0"/>
    </xf>
    <xf numFmtId="188" fontId="23" fillId="16" borderId="8" xfId="3" applyNumberFormat="1" applyFont="1" applyFill="1" applyBorder="1" applyAlignment="1" applyProtection="1">
      <alignment horizontal="center" vertical="center"/>
      <protection locked="0"/>
    </xf>
    <xf numFmtId="0" fontId="21" fillId="0" borderId="42" xfId="3" applyFont="1" applyBorder="1" applyAlignment="1" applyProtection="1">
      <alignment horizontal="center" vertical="center"/>
      <protection locked="0"/>
    </xf>
    <xf numFmtId="182" fontId="21" fillId="0" borderId="1" xfId="3" applyNumberFormat="1" applyFont="1" applyBorder="1" applyAlignment="1" applyProtection="1">
      <alignment vertical="center"/>
      <protection locked="0"/>
    </xf>
    <xf numFmtId="0" fontId="21" fillId="5" borderId="1" xfId="3" applyFont="1" applyFill="1" applyBorder="1" applyAlignment="1" applyProtection="1">
      <alignment vertical="center"/>
      <protection locked="0"/>
    </xf>
    <xf numFmtId="20" fontId="37" fillId="7" borderId="0" xfId="3" applyNumberFormat="1" applyFont="1" applyFill="1" applyAlignment="1" applyProtection="1">
      <alignment vertical="center"/>
      <protection locked="0"/>
    </xf>
    <xf numFmtId="180" fontId="23" fillId="0" borderId="1" xfId="3" applyNumberFormat="1" applyFont="1" applyBorder="1" applyAlignment="1" applyProtection="1">
      <alignment horizontal="center" vertical="center"/>
      <protection locked="0"/>
    </xf>
    <xf numFmtId="180" fontId="21" fillId="0" borderId="42" xfId="3" applyNumberFormat="1" applyFont="1" applyBorder="1" applyAlignment="1" applyProtection="1">
      <alignment vertical="center"/>
      <protection locked="0"/>
    </xf>
    <xf numFmtId="0" fontId="37" fillId="5" borderId="0" xfId="3" applyFont="1" applyFill="1" applyAlignment="1" applyProtection="1">
      <alignment vertical="center"/>
      <protection locked="0"/>
    </xf>
    <xf numFmtId="0" fontId="23" fillId="13" borderId="0" xfId="3" applyFont="1" applyFill="1" applyAlignment="1" applyProtection="1">
      <alignment horizontal="center" vertical="center"/>
      <protection locked="0"/>
    </xf>
    <xf numFmtId="0" fontId="21" fillId="7" borderId="0" xfId="3" applyFont="1" applyFill="1" applyAlignment="1" applyProtection="1">
      <alignment vertical="center"/>
      <protection locked="0"/>
    </xf>
    <xf numFmtId="0" fontId="22" fillId="0" borderId="9" xfId="3" applyFont="1" applyBorder="1" applyAlignment="1" applyProtection="1">
      <alignment horizontal="center" vertical="center"/>
      <protection locked="0"/>
    </xf>
    <xf numFmtId="180" fontId="22" fillId="0" borderId="5" xfId="3" applyNumberFormat="1" applyFont="1" applyBorder="1" applyAlignment="1">
      <alignment horizontal="center" vertical="center"/>
    </xf>
    <xf numFmtId="177" fontId="22" fillId="0" borderId="5" xfId="3" applyNumberFormat="1" applyFont="1" applyBorder="1" applyAlignment="1">
      <alignment horizontal="center" vertical="center"/>
    </xf>
    <xf numFmtId="2" fontId="22" fillId="0" borderId="5" xfId="3" applyNumberFormat="1" applyFont="1" applyBorder="1" applyAlignment="1">
      <alignment horizontal="center" vertical="center"/>
    </xf>
    <xf numFmtId="181" fontId="22" fillId="0" borderId="5" xfId="3" applyNumberFormat="1" applyFont="1" applyBorder="1" applyAlignment="1">
      <alignment horizontal="center" vertical="center"/>
    </xf>
    <xf numFmtId="180" fontId="22" fillId="0" borderId="10" xfId="3" applyNumberFormat="1" applyFont="1" applyBorder="1" applyAlignment="1">
      <alignment horizontal="center" vertical="center"/>
    </xf>
    <xf numFmtId="0" fontId="22" fillId="0" borderId="7" xfId="3" applyFont="1" applyBorder="1" applyAlignment="1" applyProtection="1">
      <alignment horizontal="center" vertical="center"/>
      <protection locked="0"/>
    </xf>
    <xf numFmtId="0" fontId="22" fillId="0" borderId="2" xfId="3" applyFont="1" applyBorder="1" applyAlignment="1" applyProtection="1">
      <alignment horizontal="center" vertical="center" wrapText="1"/>
      <protection locked="0"/>
    </xf>
    <xf numFmtId="0" fontId="22" fillId="0" borderId="2" xfId="3" applyFont="1" applyBorder="1" applyAlignment="1" applyProtection="1">
      <alignment horizontal="center" vertical="center"/>
      <protection locked="0"/>
    </xf>
    <xf numFmtId="0" fontId="22" fillId="0" borderId="3" xfId="3" applyFont="1" applyBorder="1" applyAlignment="1" applyProtection="1">
      <alignment horizontal="center" vertical="center"/>
      <protection locked="0"/>
    </xf>
    <xf numFmtId="0" fontId="22" fillId="5" borderId="23" xfId="3" applyFont="1" applyFill="1" applyBorder="1" applyAlignment="1" applyProtection="1">
      <alignment horizontal="center" vertical="center"/>
      <protection locked="0"/>
    </xf>
    <xf numFmtId="0" fontId="22" fillId="5" borderId="0" xfId="3" applyFont="1" applyFill="1" applyAlignment="1" applyProtection="1">
      <alignment horizontal="center" vertical="center" wrapText="1"/>
      <protection locked="0"/>
    </xf>
    <xf numFmtId="0" fontId="22" fillId="5" borderId="0" xfId="3" applyFont="1" applyFill="1" applyAlignment="1" applyProtection="1">
      <alignment horizontal="center" vertical="center"/>
      <protection locked="0"/>
    </xf>
    <xf numFmtId="0" fontId="22" fillId="5" borderId="24" xfId="3" applyFont="1" applyFill="1" applyBorder="1" applyAlignment="1" applyProtection="1">
      <alignment horizontal="center" vertical="center"/>
      <protection locked="0"/>
    </xf>
    <xf numFmtId="0" fontId="21" fillId="5" borderId="23" xfId="3" applyFont="1" applyFill="1" applyBorder="1" applyAlignment="1" applyProtection="1">
      <alignment vertical="center"/>
      <protection locked="0"/>
    </xf>
    <xf numFmtId="0" fontId="21" fillId="11" borderId="1" xfId="3" applyFont="1" applyFill="1" applyBorder="1" applyAlignment="1" applyProtection="1">
      <alignment vertical="center"/>
      <protection locked="0"/>
    </xf>
    <xf numFmtId="0" fontId="21" fillId="5" borderId="24" xfId="3" applyFont="1" applyFill="1" applyBorder="1" applyAlignment="1" applyProtection="1">
      <alignment vertical="center"/>
      <protection locked="0"/>
    </xf>
    <xf numFmtId="181" fontId="21" fillId="11" borderId="1" xfId="3" applyNumberFormat="1" applyFont="1" applyFill="1" applyBorder="1" applyAlignment="1" applyProtection="1">
      <alignment vertical="center"/>
      <protection locked="0"/>
    </xf>
    <xf numFmtId="0" fontId="32" fillId="0" borderId="23" xfId="0" applyFont="1" applyBorder="1">
      <alignment vertical="center"/>
    </xf>
    <xf numFmtId="0" fontId="21" fillId="0" borderId="24" xfId="0" applyFont="1" applyBorder="1">
      <alignment vertical="center"/>
    </xf>
    <xf numFmtId="0" fontId="21" fillId="0" borderId="23" xfId="0" applyFont="1" applyBorder="1">
      <alignment vertical="center"/>
    </xf>
    <xf numFmtId="0" fontId="21" fillId="0" borderId="17" xfId="0" applyFont="1" applyBorder="1" applyAlignment="1">
      <alignment horizontal="center" vertical="center"/>
    </xf>
    <xf numFmtId="180" fontId="62" fillId="0" borderId="0" xfId="0" applyNumberFormat="1" applyFont="1">
      <alignment vertical="center"/>
    </xf>
    <xf numFmtId="0" fontId="21" fillId="0" borderId="17" xfId="0" applyFont="1" applyBorder="1">
      <alignment vertical="center"/>
    </xf>
    <xf numFmtId="180" fontId="62" fillId="0" borderId="17" xfId="0" applyNumberFormat="1" applyFont="1" applyBorder="1">
      <alignment vertical="center"/>
    </xf>
    <xf numFmtId="180" fontId="61" fillId="0" borderId="0" xfId="0" applyNumberFormat="1" applyFont="1" applyAlignment="1">
      <alignment horizontal="center" vertical="center"/>
    </xf>
    <xf numFmtId="181" fontId="61" fillId="0" borderId="0" xfId="0" applyNumberFormat="1" applyFont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0" xfId="0" applyFont="1" applyAlignment="1">
      <alignment horizontal="right" vertical="center"/>
    </xf>
    <xf numFmtId="177" fontId="61" fillId="0" borderId="0" xfId="0" applyNumberFormat="1" applyFont="1" applyAlignment="1">
      <alignment horizontal="center" vertical="center"/>
    </xf>
    <xf numFmtId="0" fontId="21" fillId="0" borderId="26" xfId="0" applyFont="1" applyBorder="1">
      <alignment vertical="center"/>
    </xf>
    <xf numFmtId="0" fontId="21" fillId="0" borderId="27" xfId="0" applyFont="1" applyBorder="1">
      <alignment vertical="center"/>
    </xf>
    <xf numFmtId="0" fontId="21" fillId="0" borderId="28" xfId="0" applyFont="1" applyBorder="1">
      <alignment vertical="center"/>
    </xf>
    <xf numFmtId="0" fontId="32" fillId="0" borderId="21" xfId="0" applyFont="1" applyBorder="1">
      <alignment vertical="center"/>
    </xf>
    <xf numFmtId="0" fontId="21" fillId="0" borderId="19" xfId="0" applyFont="1" applyBorder="1">
      <alignment vertical="center"/>
    </xf>
    <xf numFmtId="0" fontId="64" fillId="0" borderId="23" xfId="0" applyFont="1" applyBorder="1" applyAlignment="1">
      <alignment horizontal="justify" vertical="center"/>
    </xf>
    <xf numFmtId="180" fontId="61" fillId="0" borderId="17" xfId="0" applyNumberFormat="1" applyFont="1" applyBorder="1" applyAlignment="1">
      <alignment horizontal="center" vertical="center"/>
    </xf>
    <xf numFmtId="2" fontId="61" fillId="0" borderId="17" xfId="0" applyNumberFormat="1" applyFont="1" applyBorder="1" applyAlignment="1">
      <alignment horizontal="center" vertical="center"/>
    </xf>
    <xf numFmtId="182" fontId="61" fillId="0" borderId="0" xfId="0" applyNumberFormat="1" applyFont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62" fillId="0" borderId="27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181" fontId="62" fillId="0" borderId="27" xfId="0" applyNumberFormat="1" applyFont="1" applyBorder="1" applyAlignment="1">
      <alignment horizontal="center" vertical="center"/>
    </xf>
    <xf numFmtId="0" fontId="32" fillId="0" borderId="21" xfId="0" applyFont="1" applyBorder="1" applyAlignment="1">
      <alignment horizontal="left" vertical="center"/>
    </xf>
    <xf numFmtId="0" fontId="62" fillId="0" borderId="19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181" fontId="62" fillId="0" borderId="1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181" fontId="6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32" fillId="0" borderId="23" xfId="0" applyFont="1" applyBorder="1" applyAlignment="1">
      <alignment horizontal="center" vertical="center"/>
    </xf>
    <xf numFmtId="0" fontId="21" fillId="0" borderId="22" xfId="0" applyFont="1" applyBorder="1">
      <alignment vertical="center"/>
    </xf>
    <xf numFmtId="182" fontId="61" fillId="0" borderId="17" xfId="0" applyNumberFormat="1" applyFont="1" applyBorder="1" applyAlignment="1">
      <alignment horizontal="center" vertical="center"/>
    </xf>
    <xf numFmtId="181" fontId="61" fillId="0" borderId="17" xfId="0" applyNumberFormat="1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180" fontId="63" fillId="0" borderId="0" xfId="3" applyNumberFormat="1" applyFont="1" applyAlignment="1">
      <alignment horizontal="center" vertical="center"/>
    </xf>
    <xf numFmtId="2" fontId="61" fillId="0" borderId="0" xfId="0" applyNumberFormat="1" applyFont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32" fillId="0" borderId="27" xfId="3" applyFont="1" applyBorder="1" applyAlignment="1">
      <alignment horizontal="center" vertical="center" wrapText="1"/>
    </xf>
    <xf numFmtId="180" fontId="63" fillId="0" borderId="27" xfId="3" applyNumberFormat="1" applyFont="1" applyBorder="1" applyAlignment="1">
      <alignment horizontal="center" vertical="center"/>
    </xf>
    <xf numFmtId="0" fontId="21" fillId="0" borderId="21" xfId="0" applyFont="1" applyBorder="1">
      <alignment vertical="center"/>
    </xf>
    <xf numFmtId="0" fontId="62" fillId="0" borderId="17" xfId="0" applyFont="1" applyBorder="1">
      <alignment vertical="center"/>
    </xf>
    <xf numFmtId="0" fontId="62" fillId="0" borderId="17" xfId="0" applyFont="1" applyBorder="1" applyAlignment="1">
      <alignment horizontal="right" vertical="center"/>
    </xf>
    <xf numFmtId="0" fontId="61" fillId="0" borderId="17" xfId="0" applyFont="1" applyBorder="1" applyAlignment="1">
      <alignment horizontal="center" vertical="center"/>
    </xf>
    <xf numFmtId="0" fontId="62" fillId="0" borderId="17" xfId="0" applyFont="1" applyBorder="1" applyAlignment="1">
      <alignment horizontal="center" vertical="center"/>
    </xf>
    <xf numFmtId="0" fontId="62" fillId="0" borderId="17" xfId="0" applyFont="1" applyBorder="1" applyAlignment="1">
      <alignment horizontal="left" vertical="center"/>
    </xf>
    <xf numFmtId="2" fontId="61" fillId="0" borderId="18" xfId="0" applyNumberFormat="1" applyFont="1" applyBorder="1" applyAlignment="1">
      <alignment horizontal="center" vertical="center"/>
    </xf>
    <xf numFmtId="180" fontId="21" fillId="0" borderId="18" xfId="0" applyNumberFormat="1" applyFont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3" applyFont="1" applyAlignment="1">
      <alignment vertical="center" wrapText="1"/>
    </xf>
    <xf numFmtId="182" fontId="21" fillId="9" borderId="1" xfId="0" applyNumberFormat="1" applyFont="1" applyFill="1" applyBorder="1" applyAlignment="1">
      <alignment horizontal="center" vertical="center"/>
    </xf>
    <xf numFmtId="182" fontId="21" fillId="11" borderId="30" xfId="0" applyNumberFormat="1" applyFont="1" applyFill="1" applyBorder="1" applyAlignment="1">
      <alignment horizontal="center" vertical="center"/>
    </xf>
    <xf numFmtId="182" fontId="21" fillId="9" borderId="40" xfId="0" applyNumberFormat="1" applyFont="1" applyFill="1" applyBorder="1" applyAlignment="1">
      <alignment horizontal="center" vertical="center"/>
    </xf>
    <xf numFmtId="182" fontId="21" fillId="11" borderId="6" xfId="0" applyNumberFormat="1" applyFont="1" applyFill="1" applyBorder="1" applyAlignment="1">
      <alignment horizontal="center" vertical="center"/>
    </xf>
    <xf numFmtId="182" fontId="21" fillId="11" borderId="7" xfId="0" applyNumberFormat="1" applyFont="1" applyFill="1" applyBorder="1" applyAlignment="1">
      <alignment horizontal="center" vertical="center"/>
    </xf>
    <xf numFmtId="182" fontId="21" fillId="9" borderId="2" xfId="0" applyNumberFormat="1" applyFont="1" applyFill="1" applyBorder="1" applyAlignment="1">
      <alignment horizontal="center" vertical="center"/>
    </xf>
    <xf numFmtId="182" fontId="21" fillId="9" borderId="38" xfId="0" applyNumberFormat="1" applyFont="1" applyFill="1" applyBorder="1" applyAlignment="1">
      <alignment horizontal="center" vertical="center"/>
    </xf>
    <xf numFmtId="182" fontId="21" fillId="9" borderId="53" xfId="0" applyNumberFormat="1" applyFont="1" applyFill="1" applyBorder="1" applyAlignment="1">
      <alignment horizontal="center" vertical="center"/>
    </xf>
    <xf numFmtId="182" fontId="21" fillId="9" borderId="54" xfId="0" applyNumberFormat="1" applyFont="1" applyFill="1" applyBorder="1" applyAlignment="1">
      <alignment horizontal="center" vertical="center"/>
    </xf>
    <xf numFmtId="0" fontId="21" fillId="0" borderId="64" xfId="0" applyFont="1" applyBorder="1" applyAlignment="1">
      <alignment horizontal="center" vertical="center"/>
    </xf>
    <xf numFmtId="0" fontId="21" fillId="0" borderId="65" xfId="0" applyFont="1" applyBorder="1" applyAlignment="1">
      <alignment horizontal="center" vertical="center"/>
    </xf>
    <xf numFmtId="0" fontId="21" fillId="0" borderId="76" xfId="0" applyFont="1" applyBorder="1" applyAlignment="1">
      <alignment horizontal="center" vertical="center"/>
    </xf>
    <xf numFmtId="31" fontId="10" fillId="0" borderId="0" xfId="2" applyNumberFormat="1" applyFont="1" applyAlignment="1">
      <alignment horizontal="left"/>
    </xf>
    <xf numFmtId="0" fontId="0" fillId="0" borderId="0" xfId="2" applyFont="1" applyAlignment="1">
      <alignment horizontal="right"/>
    </xf>
    <xf numFmtId="0" fontId="2" fillId="0" borderId="0" xfId="2" applyAlignment="1">
      <alignment horizontal="right"/>
    </xf>
    <xf numFmtId="0" fontId="29" fillId="0" borderId="0" xfId="2" applyFont="1" applyAlignment="1">
      <alignment horizontal="center"/>
    </xf>
    <xf numFmtId="31" fontId="28" fillId="0" borderId="0" xfId="2" applyNumberFormat="1" applyFont="1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184" fontId="21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1" fillId="0" borderId="0" xfId="0" applyFont="1" applyAlignment="1">
      <alignment horizontal="right" vertical="center"/>
    </xf>
    <xf numFmtId="182" fontId="27" fillId="0" borderId="15" xfId="0" applyNumberFormat="1" applyFont="1" applyBorder="1" applyAlignment="1">
      <alignment horizontal="center" vertical="center"/>
    </xf>
    <xf numFmtId="182" fontId="27" fillId="0" borderId="16" xfId="0" applyNumberFormat="1" applyFont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3" xfId="0" applyFont="1" applyFill="1" applyBorder="1" applyAlignment="1">
      <alignment horizontal="center" vertical="center"/>
    </xf>
    <xf numFmtId="182" fontId="27" fillId="0" borderId="40" xfId="0" applyNumberFormat="1" applyFont="1" applyBorder="1" applyAlignment="1">
      <alignment horizontal="center" vertical="center"/>
    </xf>
    <xf numFmtId="182" fontId="27" fillId="0" borderId="44" xfId="0" applyNumberFormat="1" applyFont="1" applyBorder="1" applyAlignment="1">
      <alignment horizontal="center" vertical="center"/>
    </xf>
    <xf numFmtId="182" fontId="27" fillId="0" borderId="1" xfId="0" applyNumberFormat="1" applyFont="1" applyBorder="1" applyAlignment="1">
      <alignment horizontal="center" vertical="center"/>
    </xf>
    <xf numFmtId="182" fontId="27" fillId="0" borderId="8" xfId="0" applyNumberFormat="1" applyFont="1" applyBorder="1" applyAlignment="1">
      <alignment horizontal="center" vertical="center"/>
    </xf>
    <xf numFmtId="182" fontId="27" fillId="0" borderId="2" xfId="0" applyNumberFormat="1" applyFont="1" applyBorder="1" applyAlignment="1">
      <alignment horizontal="center" vertical="center"/>
    </xf>
    <xf numFmtId="182" fontId="27" fillId="0" borderId="3" xfId="0" applyNumberFormat="1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182" fontId="27" fillId="0" borderId="58" xfId="0" applyNumberFormat="1" applyFont="1" applyBorder="1" applyAlignment="1">
      <alignment horizontal="center" vertical="center"/>
    </xf>
    <xf numFmtId="182" fontId="27" fillId="0" borderId="29" xfId="0" applyNumberFormat="1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0" fontId="27" fillId="0" borderId="49" xfId="0" applyFont="1" applyBorder="1" applyAlignment="1">
      <alignment horizontal="center" vertical="center"/>
    </xf>
    <xf numFmtId="182" fontId="27" fillId="0" borderId="47" xfId="0" applyNumberFormat="1" applyFont="1" applyBorder="1" applyAlignment="1">
      <alignment horizontal="center" vertical="center"/>
    </xf>
    <xf numFmtId="182" fontId="27" fillId="0" borderId="48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7" fillId="2" borderId="30" xfId="0" applyFont="1" applyFill="1" applyBorder="1" applyAlignment="1">
      <alignment horizontal="center" vertical="center"/>
    </xf>
    <xf numFmtId="0" fontId="27" fillId="2" borderId="40" xfId="0" applyFont="1" applyFill="1" applyBorder="1" applyAlignment="1">
      <alignment horizontal="center" vertical="center"/>
    </xf>
    <xf numFmtId="182" fontId="27" fillId="9" borderId="5" xfId="0" applyNumberFormat="1" applyFont="1" applyFill="1" applyBorder="1" applyAlignment="1">
      <alignment horizontal="center" vertical="center"/>
    </xf>
    <xf numFmtId="182" fontId="27" fillId="9" borderId="2" xfId="0" applyNumberFormat="1" applyFont="1" applyFill="1" applyBorder="1" applyAlignment="1">
      <alignment horizontal="center" vertical="center"/>
    </xf>
    <xf numFmtId="182" fontId="27" fillId="0" borderId="37" xfId="0" applyNumberFormat="1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180" fontId="27" fillId="9" borderId="12" xfId="0" applyNumberFormat="1" applyFont="1" applyFill="1" applyBorder="1" applyAlignment="1">
      <alignment horizontal="center" vertical="center"/>
    </xf>
    <xf numFmtId="180" fontId="27" fillId="9" borderId="15" xfId="0" applyNumberFormat="1" applyFont="1" applyFill="1" applyBorder="1" applyAlignment="1">
      <alignment horizontal="center" vertical="center"/>
    </xf>
    <xf numFmtId="1" fontId="27" fillId="9" borderId="12" xfId="0" applyNumberFormat="1" applyFont="1" applyFill="1" applyBorder="1" applyAlignment="1">
      <alignment horizontal="center" vertical="center"/>
    </xf>
    <xf numFmtId="1" fontId="27" fillId="9" borderId="15" xfId="0" applyNumberFormat="1" applyFont="1" applyFill="1" applyBorder="1" applyAlignment="1">
      <alignment horizontal="center" vertical="center"/>
    </xf>
    <xf numFmtId="182" fontId="27" fillId="9" borderId="12" xfId="0" applyNumberFormat="1" applyFont="1" applyFill="1" applyBorder="1" applyAlignment="1">
      <alignment horizontal="center" vertical="center"/>
    </xf>
    <xf numFmtId="182" fontId="27" fillId="9" borderId="15" xfId="0" applyNumberFormat="1" applyFont="1" applyFill="1" applyBorder="1" applyAlignment="1">
      <alignment horizontal="center" vertical="center"/>
    </xf>
    <xf numFmtId="181" fontId="27" fillId="0" borderId="13" xfId="0" applyNumberFormat="1" applyFont="1" applyBorder="1" applyAlignment="1">
      <alignment horizontal="center" vertical="center"/>
    </xf>
    <xf numFmtId="181" fontId="27" fillId="0" borderId="16" xfId="0" applyNumberFormat="1" applyFont="1" applyBorder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9" borderId="1" xfId="0" applyFont="1" applyFill="1" applyBorder="1" applyAlignment="1">
      <alignment horizontal="center" vertical="center"/>
    </xf>
    <xf numFmtId="0" fontId="27" fillId="2" borderId="60" xfId="0" applyFont="1" applyFill="1" applyBorder="1" applyAlignment="1">
      <alignment horizontal="center" vertical="center"/>
    </xf>
    <xf numFmtId="0" fontId="27" fillId="2" borderId="48" xfId="0" applyFont="1" applyFill="1" applyBorder="1" applyAlignment="1">
      <alignment horizontal="center" vertical="center"/>
    </xf>
    <xf numFmtId="0" fontId="27" fillId="0" borderId="46" xfId="0" applyFont="1" applyBorder="1" applyAlignment="1">
      <alignment horizontal="right" vertical="center"/>
    </xf>
    <xf numFmtId="0" fontId="27" fillId="0" borderId="47" xfId="0" applyFont="1" applyBorder="1" applyAlignment="1">
      <alignment horizontal="right" vertical="center"/>
    </xf>
    <xf numFmtId="0" fontId="27" fillId="0" borderId="48" xfId="0" applyFont="1" applyBorder="1" applyAlignment="1">
      <alignment horizontal="right" vertical="center"/>
    </xf>
    <xf numFmtId="182" fontId="27" fillId="0" borderId="41" xfId="0" applyNumberFormat="1" applyFont="1" applyBorder="1" applyAlignment="1">
      <alignment horizontal="center" vertical="center"/>
    </xf>
    <xf numFmtId="182" fontId="27" fillId="0" borderId="22" xfId="0" applyNumberFormat="1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1" fontId="27" fillId="0" borderId="12" xfId="0" applyNumberFormat="1" applyFont="1" applyBorder="1" applyAlignment="1">
      <alignment horizontal="center" vertical="center"/>
    </xf>
    <xf numFmtId="1" fontId="27" fillId="0" borderId="15" xfId="0" applyNumberFormat="1" applyFont="1" applyBorder="1" applyAlignment="1">
      <alignment horizontal="center" vertical="center"/>
    </xf>
    <xf numFmtId="182" fontId="27" fillId="0" borderId="12" xfId="0" applyNumberFormat="1" applyFont="1" applyBorder="1" applyAlignment="1">
      <alignment horizontal="center" vertical="center"/>
    </xf>
    <xf numFmtId="180" fontId="27" fillId="0" borderId="12" xfId="0" applyNumberFormat="1" applyFont="1" applyBorder="1" applyAlignment="1">
      <alignment horizontal="center" vertical="center"/>
    </xf>
    <xf numFmtId="180" fontId="27" fillId="0" borderId="15" xfId="0" applyNumberFormat="1" applyFont="1" applyBorder="1" applyAlignment="1">
      <alignment horizontal="center" vertical="center"/>
    </xf>
    <xf numFmtId="182" fontId="27" fillId="5" borderId="9" xfId="0" applyNumberFormat="1" applyFont="1" applyFill="1" applyBorder="1" applyAlignment="1">
      <alignment horizontal="center" vertical="center"/>
    </xf>
    <xf numFmtId="182" fontId="27" fillId="5" borderId="7" xfId="0" applyNumberFormat="1" applyFont="1" applyFill="1" applyBorder="1" applyAlignment="1">
      <alignment horizontal="center" vertical="center"/>
    </xf>
    <xf numFmtId="182" fontId="27" fillId="5" borderId="5" xfId="0" applyNumberFormat="1" applyFont="1" applyFill="1" applyBorder="1" applyAlignment="1">
      <alignment horizontal="center" vertical="center"/>
    </xf>
    <xf numFmtId="182" fontId="27" fillId="5" borderId="2" xfId="0" applyNumberFormat="1" applyFont="1" applyFill="1" applyBorder="1" applyAlignment="1">
      <alignment horizontal="center" vertical="center"/>
    </xf>
    <xf numFmtId="0" fontId="21" fillId="0" borderId="46" xfId="0" applyFont="1" applyBorder="1" applyAlignment="1">
      <alignment horizontal="right" vertical="center"/>
    </xf>
    <xf numFmtId="0" fontId="21" fillId="0" borderId="47" xfId="0" applyFont="1" applyBorder="1" applyAlignment="1">
      <alignment horizontal="right" vertical="center"/>
    </xf>
    <xf numFmtId="0" fontId="21" fillId="0" borderId="48" xfId="0" applyFont="1" applyBorder="1" applyAlignment="1">
      <alignment horizontal="right" vertical="center"/>
    </xf>
    <xf numFmtId="0" fontId="32" fillId="8" borderId="21" xfId="0" applyFont="1" applyFill="1" applyBorder="1" applyAlignment="1">
      <alignment horizontal="center" vertical="center"/>
    </xf>
    <xf numFmtId="0" fontId="32" fillId="8" borderId="22" xfId="0" applyFont="1" applyFill="1" applyBorder="1" applyAlignment="1">
      <alignment horizontal="center" vertical="center"/>
    </xf>
    <xf numFmtId="0" fontId="32" fillId="8" borderId="26" xfId="0" applyFont="1" applyFill="1" applyBorder="1" applyAlignment="1">
      <alignment horizontal="center" vertical="center"/>
    </xf>
    <xf numFmtId="0" fontId="32" fillId="8" borderId="28" xfId="0" applyFont="1" applyFill="1" applyBorder="1" applyAlignment="1">
      <alignment horizontal="center" vertical="center"/>
    </xf>
    <xf numFmtId="0" fontId="32" fillId="0" borderId="21" xfId="0" applyFont="1" applyBorder="1" applyAlignment="1" applyProtection="1">
      <alignment horizontal="center" vertical="center"/>
      <protection locked="0"/>
    </xf>
    <xf numFmtId="0" fontId="32" fillId="0" borderId="19" xfId="0" applyFont="1" applyBorder="1" applyAlignment="1" applyProtection="1">
      <alignment horizontal="center" vertical="center"/>
      <protection locked="0"/>
    </xf>
    <xf numFmtId="0" fontId="32" fillId="0" borderId="22" xfId="0" applyFont="1" applyBorder="1" applyAlignment="1" applyProtection="1">
      <alignment horizontal="center" vertical="center"/>
      <protection locked="0"/>
    </xf>
    <xf numFmtId="0" fontId="32" fillId="0" borderId="26" xfId="0" applyFont="1" applyBorder="1" applyAlignment="1" applyProtection="1">
      <alignment horizontal="center" vertical="center"/>
      <protection locked="0"/>
    </xf>
    <xf numFmtId="0" fontId="32" fillId="0" borderId="27" xfId="0" applyFont="1" applyBorder="1" applyAlignment="1" applyProtection="1">
      <alignment horizontal="center" vertical="center"/>
      <protection locked="0"/>
    </xf>
    <xf numFmtId="0" fontId="32" fillId="0" borderId="28" xfId="0" applyFont="1" applyBorder="1" applyAlignment="1" applyProtection="1">
      <alignment horizontal="center" vertical="center"/>
      <protection locked="0"/>
    </xf>
    <xf numFmtId="0" fontId="34" fillId="2" borderId="30" xfId="1" applyFont="1" applyFill="1" applyBorder="1" applyAlignment="1" applyProtection="1">
      <alignment horizontal="center" vertical="center"/>
      <protection locked="0"/>
    </xf>
    <xf numFmtId="0" fontId="34" fillId="2" borderId="6" xfId="1" applyFont="1" applyFill="1" applyBorder="1" applyAlignment="1" applyProtection="1">
      <alignment horizontal="center" vertical="center"/>
      <protection locked="0"/>
    </xf>
    <xf numFmtId="0" fontId="34" fillId="2" borderId="13" xfId="1" applyFont="1" applyFill="1" applyBorder="1" applyAlignment="1" applyProtection="1">
      <alignment horizontal="center" vertical="center"/>
      <protection locked="0"/>
    </xf>
    <xf numFmtId="0" fontId="34" fillId="2" borderId="10" xfId="1" applyFont="1" applyFill="1" applyBorder="1" applyAlignment="1" applyProtection="1">
      <alignment horizontal="center" vertical="center"/>
      <protection locked="0"/>
    </xf>
    <xf numFmtId="0" fontId="21" fillId="9" borderId="31" xfId="0" applyFont="1" applyFill="1" applyBorder="1" applyAlignment="1">
      <alignment horizontal="center" vertical="center"/>
    </xf>
    <xf numFmtId="0" fontId="21" fillId="9" borderId="14" xfId="0" applyFont="1" applyFill="1" applyBorder="1" applyAlignment="1">
      <alignment horizontal="center" vertical="center"/>
    </xf>
    <xf numFmtId="0" fontId="21" fillId="9" borderId="32" xfId="0" applyFont="1" applyFill="1" applyBorder="1" applyAlignment="1">
      <alignment horizontal="center" vertical="center"/>
    </xf>
    <xf numFmtId="0" fontId="21" fillId="9" borderId="16" xfId="0" applyFont="1" applyFill="1" applyBorder="1" applyAlignment="1">
      <alignment horizontal="center" vertical="center"/>
    </xf>
    <xf numFmtId="0" fontId="34" fillId="0" borderId="13" xfId="1" applyFont="1" applyBorder="1" applyAlignment="1" applyProtection="1">
      <alignment horizontal="center" vertical="center"/>
      <protection locked="0"/>
    </xf>
    <xf numFmtId="0" fontId="34" fillId="0" borderId="10" xfId="1" applyFont="1" applyBorder="1" applyAlignment="1" applyProtection="1">
      <alignment horizontal="center" vertical="center"/>
      <protection locked="0"/>
    </xf>
    <xf numFmtId="0" fontId="33" fillId="9" borderId="1" xfId="0" applyFont="1" applyFill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0" fillId="10" borderId="21" xfId="5" applyFont="1" applyFill="1" applyBorder="1" applyAlignment="1" applyProtection="1">
      <alignment horizontal="center" vertical="center"/>
      <protection hidden="1"/>
    </xf>
    <xf numFmtId="0" fontId="20" fillId="10" borderId="19" xfId="5" applyFont="1" applyFill="1" applyBorder="1" applyAlignment="1" applyProtection="1">
      <alignment horizontal="center" vertical="center"/>
      <protection hidden="1"/>
    </xf>
    <xf numFmtId="0" fontId="20" fillId="10" borderId="22" xfId="5" applyFont="1" applyFill="1" applyBorder="1" applyAlignment="1" applyProtection="1">
      <alignment horizontal="center" vertical="center"/>
      <protection hidden="1"/>
    </xf>
    <xf numFmtId="0" fontId="20" fillId="10" borderId="26" xfId="5" applyFont="1" applyFill="1" applyBorder="1" applyAlignment="1" applyProtection="1">
      <alignment horizontal="center" vertical="center"/>
      <protection hidden="1"/>
    </xf>
    <xf numFmtId="0" fontId="20" fillId="10" borderId="27" xfId="5" applyFont="1" applyFill="1" applyBorder="1" applyAlignment="1" applyProtection="1">
      <alignment horizontal="center" vertical="center"/>
      <protection hidden="1"/>
    </xf>
    <xf numFmtId="0" fontId="20" fillId="10" borderId="28" xfId="5" applyFont="1" applyFill="1" applyBorder="1" applyAlignment="1" applyProtection="1">
      <alignment horizontal="center" vertical="center"/>
      <protection hidden="1"/>
    </xf>
    <xf numFmtId="185" fontId="22" fillId="0" borderId="19" xfId="5" applyNumberFormat="1" applyFont="1" applyBorder="1" applyAlignment="1" applyProtection="1">
      <alignment horizontal="left" vertical="center"/>
      <protection hidden="1"/>
    </xf>
    <xf numFmtId="0" fontId="22" fillId="0" borderId="19" xfId="5" applyFont="1" applyBorder="1" applyAlignment="1" applyProtection="1">
      <alignment horizontal="right" vertical="center"/>
      <protection hidden="1"/>
    </xf>
    <xf numFmtId="20" fontId="23" fillId="0" borderId="53" xfId="5" applyNumberFormat="1" applyFont="1" applyBorder="1" applyAlignment="1" applyProtection="1">
      <alignment horizontal="right" vertical="center"/>
      <protection locked="0"/>
    </xf>
    <xf numFmtId="20" fontId="23" fillId="0" borderId="18" xfId="5" applyNumberFormat="1" applyFont="1" applyBorder="1" applyAlignment="1" applyProtection="1">
      <alignment horizontal="right" vertical="center"/>
      <protection locked="0"/>
    </xf>
    <xf numFmtId="20" fontId="23" fillId="0" borderId="42" xfId="5" applyNumberFormat="1" applyFont="1" applyBorder="1" applyAlignment="1" applyProtection="1">
      <alignment horizontal="right" vertical="center"/>
      <protection locked="0"/>
    </xf>
    <xf numFmtId="182" fontId="21" fillId="0" borderId="5" xfId="0" applyNumberFormat="1" applyFont="1" applyBorder="1" applyAlignment="1">
      <alignment horizontal="center" vertical="center"/>
    </xf>
    <xf numFmtId="182" fontId="21" fillId="0" borderId="1" xfId="0" applyNumberFormat="1" applyFont="1" applyBorder="1" applyAlignment="1">
      <alignment horizontal="center" vertical="center"/>
    </xf>
    <xf numFmtId="182" fontId="21" fillId="0" borderId="2" xfId="0" applyNumberFormat="1" applyFont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180" fontId="21" fillId="0" borderId="9" xfId="0" applyNumberFormat="1" applyFont="1" applyBorder="1" applyAlignment="1">
      <alignment horizontal="center" vertical="center"/>
    </xf>
    <xf numFmtId="180" fontId="21" fillId="0" borderId="7" xfId="0" applyNumberFormat="1" applyFont="1" applyBorder="1" applyAlignment="1">
      <alignment horizontal="center" vertical="center"/>
    </xf>
    <xf numFmtId="180" fontId="21" fillId="0" borderId="5" xfId="0" applyNumberFormat="1" applyFont="1" applyBorder="1" applyAlignment="1">
      <alignment horizontal="center" vertical="center"/>
    </xf>
    <xf numFmtId="180" fontId="21" fillId="0" borderId="2" xfId="0" applyNumberFormat="1" applyFont="1" applyBorder="1" applyAlignment="1">
      <alignment horizontal="center" vertical="center"/>
    </xf>
    <xf numFmtId="177" fontId="21" fillId="0" borderId="5" xfId="0" applyNumberFormat="1" applyFont="1" applyBorder="1" applyAlignment="1">
      <alignment horizontal="center" vertical="center"/>
    </xf>
    <xf numFmtId="177" fontId="21" fillId="0" borderId="2" xfId="0" applyNumberFormat="1" applyFont="1" applyBorder="1" applyAlignment="1">
      <alignment horizontal="center" vertical="center"/>
    </xf>
    <xf numFmtId="180" fontId="21" fillId="9" borderId="5" xfId="0" applyNumberFormat="1" applyFont="1" applyFill="1" applyBorder="1" applyAlignment="1">
      <alignment horizontal="center" vertical="center"/>
    </xf>
    <xf numFmtId="180" fontId="21" fillId="9" borderId="2" xfId="0" applyNumberFormat="1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1" fillId="2" borderId="36" xfId="0" applyFont="1" applyFill="1" applyBorder="1" applyAlignment="1">
      <alignment horizontal="center" vertical="center" wrapText="1"/>
    </xf>
    <xf numFmtId="0" fontId="21" fillId="2" borderId="66" xfId="0" applyFont="1" applyFill="1" applyBorder="1" applyAlignment="1">
      <alignment horizontal="center" vertical="center" wrapText="1"/>
    </xf>
    <xf numFmtId="0" fontId="21" fillId="2" borderId="12" xfId="0" applyFont="1" applyFill="1" applyBorder="1" applyAlignment="1">
      <alignment horizontal="center" vertical="center"/>
    </xf>
    <xf numFmtId="0" fontId="21" fillId="2" borderId="15" xfId="0" applyFont="1" applyFill="1" applyBorder="1" applyAlignment="1">
      <alignment horizontal="center" vertical="center"/>
    </xf>
    <xf numFmtId="0" fontId="21" fillId="2" borderId="38" xfId="0" applyFont="1" applyFill="1" applyBorder="1" applyAlignment="1">
      <alignment horizontal="center" vertical="center"/>
    </xf>
    <xf numFmtId="0" fontId="21" fillId="2" borderId="39" xfId="0" applyFont="1" applyFill="1" applyBorder="1" applyAlignment="1">
      <alignment horizontal="center" vertical="center"/>
    </xf>
    <xf numFmtId="0" fontId="21" fillId="2" borderId="36" xfId="0" applyFont="1" applyFill="1" applyBorder="1" applyAlignment="1">
      <alignment horizontal="center" vertical="center"/>
    </xf>
    <xf numFmtId="182" fontId="21" fillId="9" borderId="41" xfId="0" applyNumberFormat="1" applyFont="1" applyFill="1" applyBorder="1" applyAlignment="1">
      <alignment horizontal="center" vertical="center"/>
    </xf>
    <xf numFmtId="182" fontId="21" fillId="9" borderId="57" xfId="0" applyNumberFormat="1" applyFont="1" applyFill="1" applyBorder="1" applyAlignment="1">
      <alignment horizontal="center" vertical="center"/>
    </xf>
    <xf numFmtId="181" fontId="21" fillId="0" borderId="67" xfId="0" applyNumberFormat="1" applyFont="1" applyBorder="1" applyAlignment="1">
      <alignment horizontal="center" vertical="center"/>
    </xf>
    <xf numFmtId="182" fontId="21" fillId="15" borderId="13" xfId="0" applyNumberFormat="1" applyFont="1" applyFill="1" applyBorder="1" applyAlignment="1">
      <alignment horizontal="center" vertical="center"/>
    </xf>
    <xf numFmtId="182" fontId="21" fillId="15" borderId="78" xfId="0" applyNumberFormat="1" applyFont="1" applyFill="1" applyBorder="1" applyAlignment="1">
      <alignment horizontal="center" vertical="center"/>
    </xf>
    <xf numFmtId="181" fontId="21" fillId="0" borderId="22" xfId="0" applyNumberFormat="1" applyFont="1" applyBorder="1" applyAlignment="1">
      <alignment horizontal="center" vertical="center"/>
    </xf>
    <xf numFmtId="181" fontId="21" fillId="0" borderId="28" xfId="0" applyNumberFormat="1" applyFont="1" applyBorder="1" applyAlignment="1">
      <alignment horizontal="center" vertical="center"/>
    </xf>
    <xf numFmtId="181" fontId="21" fillId="0" borderId="11" xfId="0" applyNumberFormat="1" applyFont="1" applyBorder="1" applyAlignment="1">
      <alignment horizontal="center" vertical="center"/>
    </xf>
    <xf numFmtId="181" fontId="21" fillId="0" borderId="14" xfId="0" applyNumberFormat="1" applyFont="1" applyBorder="1" applyAlignment="1">
      <alignment horizontal="center" vertical="center"/>
    </xf>
    <xf numFmtId="0" fontId="21" fillId="9" borderId="11" xfId="0" applyFont="1" applyFill="1" applyBorder="1" applyAlignment="1">
      <alignment horizontal="center" vertical="center"/>
    </xf>
    <xf numFmtId="0" fontId="21" fillId="2" borderId="40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" fontId="21" fillId="9" borderId="12" xfId="0" applyNumberFormat="1" applyFont="1" applyFill="1" applyBorder="1" applyAlignment="1">
      <alignment horizontal="center" vertical="center"/>
    </xf>
    <xf numFmtId="1" fontId="21" fillId="9" borderId="15" xfId="0" applyNumberFormat="1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 wrapText="1"/>
    </xf>
    <xf numFmtId="0" fontId="21" fillId="2" borderId="34" xfId="0" applyFont="1" applyFill="1" applyBorder="1" applyAlignment="1">
      <alignment horizontal="center" vertical="center" wrapText="1"/>
    </xf>
    <xf numFmtId="0" fontId="21" fillId="2" borderId="35" xfId="0" applyFont="1" applyFill="1" applyBorder="1" applyAlignment="1">
      <alignment horizontal="center" vertical="center"/>
    </xf>
    <xf numFmtId="181" fontId="21" fillId="0" borderId="13" xfId="0" applyNumberFormat="1" applyFont="1" applyBorder="1" applyAlignment="1">
      <alignment horizontal="center" vertical="center"/>
    </xf>
    <xf numFmtId="181" fontId="21" fillId="0" borderId="16" xfId="0" applyNumberFormat="1" applyFont="1" applyBorder="1" applyAlignment="1">
      <alignment horizontal="center" vertical="center"/>
    </xf>
    <xf numFmtId="0" fontId="21" fillId="2" borderId="13" xfId="0" applyFont="1" applyFill="1" applyBorder="1" applyAlignment="1">
      <alignment horizontal="center" vertical="center"/>
    </xf>
    <xf numFmtId="0" fontId="21" fillId="2" borderId="16" xfId="0" applyFont="1" applyFill="1" applyBorder="1" applyAlignment="1">
      <alignment horizontal="center" vertical="center"/>
    </xf>
    <xf numFmtId="179" fontId="21" fillId="0" borderId="5" xfId="0" applyNumberFormat="1" applyFont="1" applyBorder="1" applyAlignment="1">
      <alignment horizontal="center" vertical="center"/>
    </xf>
    <xf numFmtId="179" fontId="21" fillId="0" borderId="2" xfId="0" applyNumberFormat="1" applyFont="1" applyBorder="1" applyAlignment="1">
      <alignment horizontal="center" vertical="center"/>
    </xf>
    <xf numFmtId="0" fontId="30" fillId="0" borderId="57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2" fillId="23" borderId="35" xfId="0" applyFont="1" applyFill="1" applyBorder="1" applyAlignment="1">
      <alignment horizontal="center" vertical="center"/>
    </xf>
    <xf numFmtId="0" fontId="32" fillId="23" borderId="36" xfId="0" applyFont="1" applyFill="1" applyBorder="1" applyAlignment="1">
      <alignment horizontal="center" vertical="center"/>
    </xf>
    <xf numFmtId="177" fontId="32" fillId="0" borderId="77" xfId="0" applyNumberFormat="1" applyFont="1" applyBorder="1" applyAlignment="1">
      <alignment horizontal="center" vertical="center"/>
    </xf>
    <xf numFmtId="177" fontId="32" fillId="0" borderId="66" xfId="0" applyNumberFormat="1" applyFont="1" applyBorder="1" applyAlignment="1">
      <alignment horizontal="center" vertical="center"/>
    </xf>
    <xf numFmtId="0" fontId="34" fillId="17" borderId="0" xfId="0" applyFont="1" applyFill="1" applyAlignment="1">
      <alignment horizontal="center" vertical="center"/>
    </xf>
    <xf numFmtId="0" fontId="51" fillId="20" borderId="68" xfId="0" applyFont="1" applyFill="1" applyBorder="1" applyAlignment="1">
      <alignment horizontal="center"/>
    </xf>
    <xf numFmtId="0" fontId="51" fillId="20" borderId="69" xfId="0" applyFont="1" applyFill="1" applyBorder="1" applyAlignment="1">
      <alignment horizontal="center"/>
    </xf>
    <xf numFmtId="0" fontId="51" fillId="20" borderId="70" xfId="0" applyFont="1" applyFill="1" applyBorder="1" applyAlignment="1">
      <alignment horizontal="center"/>
    </xf>
    <xf numFmtId="0" fontId="34" fillId="21" borderId="1" xfId="0" applyFont="1" applyFill="1" applyBorder="1" applyAlignment="1">
      <alignment horizontal="center" vertical="center"/>
    </xf>
    <xf numFmtId="2" fontId="53" fillId="19" borderId="1" xfId="0" applyNumberFormat="1" applyFont="1" applyFill="1" applyBorder="1" applyAlignment="1">
      <alignment horizontal="center" vertical="center"/>
    </xf>
    <xf numFmtId="2" fontId="48" fillId="0" borderId="1" xfId="0" applyNumberFormat="1" applyFont="1" applyBorder="1" applyAlignment="1">
      <alignment horizontal="center" vertical="center"/>
    </xf>
    <xf numFmtId="2" fontId="53" fillId="22" borderId="1" xfId="0" applyNumberFormat="1" applyFont="1" applyFill="1" applyBorder="1" applyAlignment="1">
      <alignment horizontal="center" vertical="center"/>
    </xf>
    <xf numFmtId="0" fontId="21" fillId="8" borderId="64" xfId="0" applyFont="1" applyFill="1" applyBorder="1" applyAlignment="1">
      <alignment horizontal="center" vertical="center" wrapText="1"/>
    </xf>
    <xf numFmtId="0" fontId="21" fillId="8" borderId="65" xfId="0" applyFont="1" applyFill="1" applyBorder="1" applyAlignment="1">
      <alignment horizontal="center" vertical="center" wrapText="1"/>
    </xf>
    <xf numFmtId="0" fontId="30" fillId="5" borderId="21" xfId="3" applyFont="1" applyFill="1" applyBorder="1" applyAlignment="1" applyProtection="1">
      <alignment horizontal="center" vertical="center"/>
      <protection locked="0"/>
    </xf>
    <xf numFmtId="0" fontId="57" fillId="5" borderId="19" xfId="3" applyFont="1" applyFill="1" applyBorder="1" applyAlignment="1" applyProtection="1">
      <alignment horizontal="center" vertical="center"/>
      <protection locked="0"/>
    </xf>
    <xf numFmtId="0" fontId="57" fillId="5" borderId="22" xfId="3" applyFont="1" applyFill="1" applyBorder="1" applyAlignment="1" applyProtection="1">
      <alignment horizontal="center" vertical="center"/>
      <protection locked="0"/>
    </xf>
    <xf numFmtId="0" fontId="57" fillId="5" borderId="23" xfId="3" applyFont="1" applyFill="1" applyBorder="1" applyAlignment="1" applyProtection="1">
      <alignment horizontal="center" vertical="center"/>
      <protection locked="0"/>
    </xf>
    <xf numFmtId="0" fontId="57" fillId="5" borderId="0" xfId="3" applyFont="1" applyFill="1" applyAlignment="1" applyProtection="1">
      <alignment horizontal="center" vertical="center"/>
      <protection locked="0"/>
    </xf>
    <xf numFmtId="0" fontId="57" fillId="5" borderId="24" xfId="3" applyFont="1" applyFill="1" applyBorder="1" applyAlignment="1" applyProtection="1">
      <alignment horizontal="center" vertical="center"/>
      <protection locked="0"/>
    </xf>
    <xf numFmtId="0" fontId="21" fillId="5" borderId="1" xfId="3" applyFont="1" applyFill="1" applyBorder="1" applyAlignment="1" applyProtection="1">
      <alignment horizontal="center" vertical="center"/>
      <protection locked="0"/>
    </xf>
    <xf numFmtId="0" fontId="21" fillId="0" borderId="42" xfId="3" applyFont="1" applyBorder="1" applyAlignment="1" applyProtection="1">
      <alignment horizontal="center" vertical="center" wrapText="1"/>
      <protection locked="0"/>
    </xf>
    <xf numFmtId="0" fontId="23" fillId="0" borderId="1" xfId="3" applyFont="1" applyBorder="1" applyAlignment="1" applyProtection="1">
      <alignment horizontal="center" vertical="center" wrapText="1"/>
      <protection locked="0"/>
    </xf>
    <xf numFmtId="0" fontId="23" fillId="0" borderId="6" xfId="3" applyFont="1" applyBorder="1" applyAlignment="1" applyProtection="1">
      <alignment horizontal="center" vertical="center" wrapText="1"/>
      <protection locked="0"/>
    </xf>
    <xf numFmtId="182" fontId="23" fillId="9" borderId="1" xfId="3" applyNumberFormat="1" applyFont="1" applyFill="1" applyBorder="1" applyAlignment="1" applyProtection="1">
      <alignment horizontal="center" vertical="center"/>
      <protection locked="0"/>
    </xf>
    <xf numFmtId="182" fontId="23" fillId="9" borderId="8" xfId="3" applyNumberFormat="1" applyFont="1" applyFill="1" applyBorder="1" applyAlignment="1" applyProtection="1">
      <alignment horizontal="center" vertical="center"/>
      <protection locked="0"/>
    </xf>
    <xf numFmtId="188" fontId="23" fillId="9" borderId="1" xfId="3" applyNumberFormat="1" applyFont="1" applyFill="1" applyBorder="1" applyAlignment="1" applyProtection="1">
      <alignment horizontal="center" vertical="center"/>
      <protection locked="0"/>
    </xf>
    <xf numFmtId="188" fontId="23" fillId="9" borderId="8" xfId="3" applyNumberFormat="1" applyFont="1" applyFill="1" applyBorder="1" applyAlignment="1" applyProtection="1">
      <alignment horizontal="center" vertical="center"/>
      <protection locked="0"/>
    </xf>
    <xf numFmtId="1" fontId="23" fillId="0" borderId="1" xfId="3" applyNumberFormat="1" applyFont="1" applyBorder="1" applyAlignment="1" applyProtection="1">
      <alignment horizontal="center" vertical="center"/>
      <protection locked="0"/>
    </xf>
    <xf numFmtId="0" fontId="23" fillId="0" borderId="8" xfId="3" applyFont="1" applyBorder="1" applyAlignment="1" applyProtection="1">
      <alignment horizontal="center" vertical="center"/>
      <protection locked="0"/>
    </xf>
    <xf numFmtId="2" fontId="23" fillId="0" borderId="1" xfId="3" applyNumberFormat="1" applyFont="1" applyBorder="1" applyAlignment="1" applyProtection="1">
      <alignment horizontal="center" vertical="center"/>
      <protection locked="0"/>
    </xf>
    <xf numFmtId="2" fontId="23" fillId="0" borderId="8" xfId="3" applyNumberFormat="1" applyFont="1" applyBorder="1" applyAlignment="1" applyProtection="1">
      <alignment horizontal="center" vertical="center"/>
      <protection locked="0"/>
    </xf>
    <xf numFmtId="176" fontId="23" fillId="0" borderId="1" xfId="3" applyNumberFormat="1" applyFont="1" applyBorder="1" applyAlignment="1">
      <alignment horizontal="center" vertical="center"/>
    </xf>
    <xf numFmtId="176" fontId="23" fillId="0" borderId="8" xfId="3" applyNumberFormat="1" applyFont="1" applyBorder="1" applyAlignment="1">
      <alignment horizontal="center" vertical="center"/>
    </xf>
    <xf numFmtId="0" fontId="23" fillId="0" borderId="53" xfId="3" applyFont="1" applyBorder="1" applyAlignment="1" applyProtection="1">
      <alignment horizontal="center" vertical="center" wrapText="1"/>
      <protection locked="0"/>
    </xf>
    <xf numFmtId="0" fontId="23" fillId="0" borderId="42" xfId="3" applyFont="1" applyBorder="1" applyAlignment="1" applyProtection="1">
      <alignment horizontal="center" vertical="center" wrapText="1"/>
      <protection locked="0"/>
    </xf>
    <xf numFmtId="0" fontId="22" fillId="0" borderId="54" xfId="3" applyFont="1" applyBorder="1" applyAlignment="1" applyProtection="1">
      <alignment horizontal="center" vertical="center"/>
      <protection locked="0"/>
    </xf>
    <xf numFmtId="0" fontId="22" fillId="0" borderId="4" xfId="3" applyFont="1" applyBorder="1" applyAlignment="1" applyProtection="1">
      <alignment horizontal="center" vertical="center"/>
      <protection locked="0"/>
    </xf>
    <xf numFmtId="180" fontId="22" fillId="0" borderId="53" xfId="3" applyNumberFormat="1" applyFont="1" applyBorder="1" applyAlignment="1">
      <alignment horizontal="center" vertical="center"/>
    </xf>
    <xf numFmtId="180" fontId="22" fillId="0" borderId="42" xfId="3" applyNumberFormat="1" applyFont="1" applyBorder="1" applyAlignment="1">
      <alignment horizontal="center" vertical="center"/>
    </xf>
    <xf numFmtId="0" fontId="23" fillId="0" borderId="8" xfId="3" applyFont="1" applyBorder="1" applyAlignment="1" applyProtection="1">
      <alignment horizontal="center" vertical="center" wrapText="1"/>
      <protection locked="0"/>
    </xf>
    <xf numFmtId="0" fontId="23" fillId="0" borderId="53" xfId="3" applyFont="1" applyBorder="1" applyAlignment="1" applyProtection="1">
      <alignment horizontal="center" vertical="center"/>
      <protection locked="0"/>
    </xf>
    <xf numFmtId="0" fontId="23" fillId="0" borderId="42" xfId="3" applyFont="1" applyBorder="1" applyAlignment="1" applyProtection="1">
      <alignment horizontal="center" vertical="center"/>
      <protection locked="0"/>
    </xf>
    <xf numFmtId="180" fontId="23" fillId="0" borderId="53" xfId="3" applyNumberFormat="1" applyFont="1" applyBorder="1" applyAlignment="1" applyProtection="1">
      <alignment horizontal="center" vertical="center" wrapText="1"/>
      <protection locked="0"/>
    </xf>
    <xf numFmtId="180" fontId="23" fillId="0" borderId="56" xfId="3" applyNumberFormat="1" applyFont="1" applyBorder="1" applyAlignment="1" applyProtection="1">
      <alignment horizontal="center" vertical="center" wrapText="1"/>
      <protection locked="0"/>
    </xf>
    <xf numFmtId="0" fontId="23" fillId="0" borderId="38" xfId="3" applyFont="1" applyBorder="1" applyAlignment="1" applyProtection="1">
      <alignment horizontal="center" vertical="center" shrinkToFit="1"/>
      <protection locked="0"/>
    </xf>
    <xf numFmtId="0" fontId="23" fillId="0" borderId="45" xfId="3" applyFont="1" applyBorder="1" applyAlignment="1" applyProtection="1">
      <alignment horizontal="center" vertical="center" shrinkToFit="1"/>
      <protection locked="0"/>
    </xf>
    <xf numFmtId="31" fontId="23" fillId="9" borderId="1" xfId="3" applyNumberFormat="1" applyFont="1" applyFill="1" applyBorder="1" applyAlignment="1" applyProtection="1">
      <alignment horizontal="center" vertical="center"/>
      <protection locked="0"/>
    </xf>
    <xf numFmtId="0" fontId="23" fillId="9" borderId="1" xfId="3" applyFont="1" applyFill="1" applyBorder="1" applyAlignment="1" applyProtection="1">
      <alignment horizontal="center" vertical="center"/>
      <protection locked="0"/>
    </xf>
    <xf numFmtId="0" fontId="23" fillId="0" borderId="53" xfId="3" applyFont="1" applyBorder="1" applyAlignment="1" applyProtection="1">
      <alignment horizontal="center" vertical="center" shrinkToFit="1"/>
      <protection locked="0"/>
    </xf>
    <xf numFmtId="0" fontId="23" fillId="0" borderId="42" xfId="3" applyFont="1" applyBorder="1" applyAlignment="1" applyProtection="1">
      <alignment horizontal="center" vertical="center" shrinkToFit="1"/>
      <protection locked="0"/>
    </xf>
    <xf numFmtId="0" fontId="23" fillId="0" borderId="53" xfId="3" applyFont="1" applyBorder="1" applyAlignment="1" applyProtection="1">
      <alignment horizontal="center" vertical="center" wrapText="1" shrinkToFit="1"/>
      <protection locked="0"/>
    </xf>
    <xf numFmtId="0" fontId="23" fillId="0" borderId="42" xfId="3" applyFont="1" applyBorder="1" applyAlignment="1" applyProtection="1">
      <alignment horizontal="center" vertical="center" wrapText="1" shrinkToFit="1"/>
      <protection locked="0"/>
    </xf>
    <xf numFmtId="31" fontId="23" fillId="0" borderId="1" xfId="3" applyNumberFormat="1" applyFont="1" applyBorder="1" applyAlignment="1" applyProtection="1">
      <alignment horizontal="center" vertical="center"/>
      <protection locked="0"/>
    </xf>
    <xf numFmtId="0" fontId="23" fillId="0" borderId="1" xfId="3" applyFont="1" applyBorder="1" applyAlignment="1" applyProtection="1">
      <alignment horizontal="center" vertical="center"/>
      <protection locked="0"/>
    </xf>
    <xf numFmtId="0" fontId="21" fillId="0" borderId="41" xfId="3" applyFont="1" applyBorder="1" applyAlignment="1" applyProtection="1">
      <alignment horizontal="center" vertical="center"/>
      <protection locked="0"/>
    </xf>
    <xf numFmtId="0" fontId="21" fillId="0" borderId="19" xfId="3" applyFont="1" applyBorder="1" applyAlignment="1" applyProtection="1">
      <alignment horizontal="center" vertical="center"/>
      <protection locked="0"/>
    </xf>
    <xf numFmtId="0" fontId="21" fillId="0" borderId="57" xfId="3" applyFont="1" applyBorder="1" applyAlignment="1" applyProtection="1">
      <alignment horizontal="center" vertical="center"/>
      <protection locked="0"/>
    </xf>
    <xf numFmtId="0" fontId="21" fillId="0" borderId="0" xfId="3" applyFont="1" applyAlignment="1" applyProtection="1">
      <alignment horizontal="center" vertical="center"/>
      <protection locked="0"/>
    </xf>
    <xf numFmtId="0" fontId="21" fillId="0" borderId="58" xfId="3" applyFont="1" applyBorder="1" applyAlignment="1" applyProtection="1">
      <alignment horizontal="center" vertical="center"/>
      <protection locked="0"/>
    </xf>
    <xf numFmtId="0" fontId="21" fillId="0" borderId="17" xfId="3" applyFont="1" applyBorder="1" applyAlignment="1" applyProtection="1">
      <alignment horizontal="center" vertical="center"/>
      <protection locked="0"/>
    </xf>
    <xf numFmtId="0" fontId="23" fillId="0" borderId="6" xfId="3" applyFont="1" applyBorder="1" applyAlignment="1" applyProtection="1">
      <alignment horizontal="left" vertical="center" wrapText="1" shrinkToFit="1"/>
      <protection locked="0"/>
    </xf>
    <xf numFmtId="0" fontId="23" fillId="0" borderId="1" xfId="3" applyFont="1" applyBorder="1" applyAlignment="1" applyProtection="1">
      <alignment horizontal="left" vertical="center" shrinkToFit="1"/>
      <protection locked="0"/>
    </xf>
    <xf numFmtId="0" fontId="23" fillId="0" borderId="30" xfId="3" applyFont="1" applyBorder="1" applyAlignment="1" applyProtection="1">
      <alignment horizontal="left" vertical="center" shrinkToFit="1"/>
      <protection locked="0"/>
    </xf>
    <xf numFmtId="0" fontId="23" fillId="0" borderId="40" xfId="3" applyFont="1" applyBorder="1" applyAlignment="1" applyProtection="1">
      <alignment horizontal="left" vertical="center" shrinkToFit="1"/>
      <protection locked="0"/>
    </xf>
    <xf numFmtId="0" fontId="23" fillId="0" borderId="6" xfId="3" applyFont="1" applyBorder="1" applyAlignment="1" applyProtection="1">
      <alignment horizontal="left" vertical="center" shrinkToFit="1"/>
      <protection locked="0"/>
    </xf>
    <xf numFmtId="0" fontId="21" fillId="5" borderId="46" xfId="3" applyFont="1" applyFill="1" applyBorder="1" applyAlignment="1" applyProtection="1">
      <alignment horizontal="right" vertical="center"/>
      <protection locked="0"/>
    </xf>
    <xf numFmtId="0" fontId="21" fillId="5" borderId="47" xfId="3" applyFont="1" applyFill="1" applyBorder="1" applyAlignment="1" applyProtection="1">
      <alignment horizontal="right" vertical="center"/>
      <protection locked="0"/>
    </xf>
    <xf numFmtId="0" fontId="21" fillId="5" borderId="48" xfId="3" applyFont="1" applyFill="1" applyBorder="1" applyAlignment="1" applyProtection="1">
      <alignment horizontal="right" vertical="center"/>
      <protection locked="0"/>
    </xf>
    <xf numFmtId="31" fontId="23" fillId="0" borderId="40" xfId="3" applyNumberFormat="1" applyFont="1" applyBorder="1" applyAlignment="1" applyProtection="1">
      <alignment horizontal="center" vertical="center" wrapText="1"/>
      <protection locked="0"/>
    </xf>
    <xf numFmtId="0" fontId="23" fillId="0" borderId="40" xfId="3" applyFont="1" applyBorder="1" applyAlignment="1" applyProtection="1">
      <alignment horizontal="center" vertical="center" wrapText="1"/>
      <protection locked="0"/>
    </xf>
    <xf numFmtId="2" fontId="23" fillId="0" borderId="40" xfId="3" applyNumberFormat="1" applyFont="1" applyBorder="1" applyAlignment="1" applyProtection="1">
      <alignment horizontal="center" vertical="center"/>
      <protection locked="0"/>
    </xf>
    <xf numFmtId="2" fontId="23" fillId="0" borderId="44" xfId="3" applyNumberFormat="1" applyFont="1" applyBorder="1" applyAlignment="1" applyProtection="1">
      <alignment horizontal="center" vertical="center"/>
      <protection locked="0"/>
    </xf>
    <xf numFmtId="177" fontId="23" fillId="14" borderId="1" xfId="3" applyNumberFormat="1" applyFont="1" applyFill="1" applyBorder="1" applyAlignment="1">
      <alignment horizontal="center" vertical="center"/>
    </xf>
    <xf numFmtId="180" fontId="23" fillId="0" borderId="1" xfId="3" applyNumberFormat="1" applyFont="1" applyBorder="1" applyAlignment="1" applyProtection="1">
      <alignment horizontal="center" vertical="center" wrapText="1"/>
      <protection locked="0"/>
    </xf>
    <xf numFmtId="0" fontId="23" fillId="0" borderId="1" xfId="3" applyFont="1" applyBorder="1" applyAlignment="1" applyProtection="1">
      <alignment horizontal="left" vertical="center" wrapText="1" shrinkToFit="1"/>
      <protection locked="0"/>
    </xf>
    <xf numFmtId="0" fontId="30" fillId="0" borderId="21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0" fillId="0" borderId="2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177" fontId="63" fillId="0" borderId="33" xfId="3" applyNumberFormat="1" applyFont="1" applyBorder="1" applyAlignment="1">
      <alignment horizontal="center" vertical="center"/>
    </xf>
    <xf numFmtId="177" fontId="63" fillId="0" borderId="34" xfId="3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3" fontId="21" fillId="0" borderId="0" xfId="0" applyNumberFormat="1" applyFont="1" applyAlignment="1">
      <alignment horizontal="center" vertical="center"/>
    </xf>
    <xf numFmtId="180" fontId="63" fillId="0" borderId="21" xfId="3" applyNumberFormat="1" applyFont="1" applyBorder="1" applyAlignment="1">
      <alignment horizontal="center" vertical="center"/>
    </xf>
    <xf numFmtId="180" fontId="63" fillId="0" borderId="22" xfId="3" applyNumberFormat="1" applyFont="1" applyBorder="1" applyAlignment="1">
      <alignment horizontal="center" vertical="center"/>
    </xf>
    <xf numFmtId="180" fontId="63" fillId="0" borderId="26" xfId="3" applyNumberFormat="1" applyFont="1" applyBorder="1" applyAlignment="1">
      <alignment horizontal="center" vertical="center"/>
    </xf>
    <xf numFmtId="180" fontId="63" fillId="0" borderId="28" xfId="3" applyNumberFormat="1" applyFont="1" applyBorder="1" applyAlignment="1">
      <alignment horizontal="center" vertical="center"/>
    </xf>
    <xf numFmtId="0" fontId="32" fillId="0" borderId="24" xfId="3" applyFont="1" applyBorder="1" applyAlignment="1">
      <alignment horizontal="center" vertical="center" wrapText="1"/>
    </xf>
    <xf numFmtId="182" fontId="68" fillId="5" borderId="33" xfId="0" applyNumberFormat="1" applyFont="1" applyFill="1" applyBorder="1" applyAlignment="1">
      <alignment horizontal="center" vertical="center"/>
    </xf>
    <xf numFmtId="182" fontId="68" fillId="5" borderId="34" xfId="0" applyNumberFormat="1" applyFont="1" applyFill="1" applyBorder="1" applyAlignment="1">
      <alignment horizontal="center" vertical="center"/>
    </xf>
    <xf numFmtId="0" fontId="65" fillId="0" borderId="23" xfId="0" applyFont="1" applyBorder="1" applyAlignment="1">
      <alignment horizontal="center" vertical="center"/>
    </xf>
    <xf numFmtId="0" fontId="32" fillId="0" borderId="23" xfId="0" applyFont="1" applyBorder="1" applyAlignment="1">
      <alignment horizontal="center" vertical="center"/>
    </xf>
    <xf numFmtId="182" fontId="61" fillId="0" borderId="0" xfId="0" applyNumberFormat="1" applyFont="1" applyAlignment="1">
      <alignment horizontal="center" vertical="center"/>
    </xf>
    <xf numFmtId="182" fontId="61" fillId="0" borderId="17" xfId="0" applyNumberFormat="1" applyFont="1" applyBorder="1" applyAlignment="1">
      <alignment horizontal="center" vertical="center"/>
    </xf>
    <xf numFmtId="0" fontId="32" fillId="0" borderId="0" xfId="3" applyFont="1" applyAlignment="1">
      <alignment horizontal="center" vertical="center" wrapText="1"/>
    </xf>
    <xf numFmtId="0" fontId="21" fillId="0" borderId="25" xfId="0" applyFont="1" applyBorder="1" applyAlignment="1">
      <alignment horizontal="center" vertical="center"/>
    </xf>
    <xf numFmtId="2" fontId="67" fillId="0" borderId="33" xfId="3" applyNumberFormat="1" applyFont="1" applyBorder="1" applyAlignment="1">
      <alignment horizontal="center" vertical="center"/>
    </xf>
    <xf numFmtId="2" fontId="67" fillId="0" borderId="34" xfId="3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2" fontId="61" fillId="0" borderId="0" xfId="0" applyNumberFormat="1" applyFont="1" applyAlignment="1">
      <alignment horizontal="center" vertical="center"/>
    </xf>
    <xf numFmtId="181" fontId="61" fillId="0" borderId="25" xfId="0" applyNumberFormat="1" applyFont="1" applyBorder="1" applyAlignment="1">
      <alignment horizontal="center" vertical="center"/>
    </xf>
    <xf numFmtId="181" fontId="63" fillId="0" borderId="33" xfId="0" applyNumberFormat="1" applyFont="1" applyBorder="1" applyAlignment="1">
      <alignment horizontal="center" vertical="center"/>
    </xf>
    <xf numFmtId="181" fontId="63" fillId="0" borderId="34" xfId="0" applyNumberFormat="1" applyFont="1" applyBorder="1" applyAlignment="1">
      <alignment horizontal="center" vertical="center"/>
    </xf>
    <xf numFmtId="181" fontId="63" fillId="0" borderId="21" xfId="0" applyNumberFormat="1" applyFont="1" applyBorder="1" applyAlignment="1">
      <alignment horizontal="center" vertical="center"/>
    </xf>
    <xf numFmtId="181" fontId="63" fillId="0" borderId="22" xfId="0" applyNumberFormat="1" applyFont="1" applyBorder="1" applyAlignment="1">
      <alignment horizontal="center" vertical="center"/>
    </xf>
    <xf numFmtId="181" fontId="63" fillId="0" borderId="26" xfId="0" applyNumberFormat="1" applyFont="1" applyBorder="1" applyAlignment="1">
      <alignment horizontal="center" vertical="center"/>
    </xf>
    <xf numFmtId="181" fontId="63" fillId="0" borderId="28" xfId="0" applyNumberFormat="1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66" fillId="0" borderId="0" xfId="0" applyFont="1">
      <alignment vertical="center"/>
    </xf>
    <xf numFmtId="180" fontId="61" fillId="0" borderId="0" xfId="0" applyNumberFormat="1" applyFont="1" applyAlignment="1">
      <alignment horizontal="center" vertical="center"/>
    </xf>
    <xf numFmtId="0" fontId="21" fillId="0" borderId="53" xfId="0" applyFont="1" applyBorder="1" applyAlignment="1">
      <alignment horizontal="right" vertical="center"/>
    </xf>
    <xf numFmtId="0" fontId="21" fillId="0" borderId="18" xfId="0" applyFont="1" applyBorder="1" applyAlignment="1">
      <alignment horizontal="right" vertical="center"/>
    </xf>
    <xf numFmtId="0" fontId="21" fillId="0" borderId="42" xfId="0" applyFont="1" applyBorder="1" applyAlignment="1">
      <alignment horizontal="right" vertical="center"/>
    </xf>
    <xf numFmtId="180" fontId="63" fillId="0" borderId="21" xfId="0" applyNumberFormat="1" applyFont="1" applyBorder="1" applyAlignment="1">
      <alignment horizontal="center" vertical="center"/>
    </xf>
    <xf numFmtId="180" fontId="63" fillId="0" borderId="19" xfId="0" applyNumberFormat="1" applyFont="1" applyBorder="1" applyAlignment="1">
      <alignment horizontal="center" vertical="center"/>
    </xf>
    <xf numFmtId="180" fontId="63" fillId="0" borderId="22" xfId="0" applyNumberFormat="1" applyFont="1" applyBorder="1" applyAlignment="1">
      <alignment horizontal="center" vertical="center"/>
    </xf>
    <xf numFmtId="180" fontId="63" fillId="0" borderId="26" xfId="0" applyNumberFormat="1" applyFont="1" applyBorder="1" applyAlignment="1">
      <alignment horizontal="center" vertical="center"/>
    </xf>
    <xf numFmtId="180" fontId="63" fillId="0" borderId="27" xfId="0" applyNumberFormat="1" applyFont="1" applyBorder="1" applyAlignment="1">
      <alignment horizontal="center" vertical="center"/>
    </xf>
    <xf numFmtId="180" fontId="63" fillId="0" borderId="28" xfId="0" applyNumberFormat="1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0" fillId="0" borderId="0" xfId="3" applyFont="1" applyAlignment="1">
      <alignment horizontal="right" vertical="center"/>
    </xf>
    <xf numFmtId="31" fontId="4" fillId="0" borderId="0" xfId="3" applyNumberFormat="1" applyFont="1" applyAlignment="1">
      <alignment horizontal="center" vertical="center"/>
    </xf>
    <xf numFmtId="0" fontId="7" fillId="0" borderId="0" xfId="3" applyFont="1" applyAlignment="1">
      <alignment horizontal="center" vertical="center"/>
    </xf>
  </cellXfs>
  <cellStyles count="6">
    <cellStyle name="Normal_IsoKinetic Data" xfId="4" xr:uid="{00000000-0005-0000-0000-000000000000}"/>
    <cellStyle name="표준" xfId="0" builtinId="0"/>
    <cellStyle name="표준 2" xfId="5" xr:uid="{00000000-0005-0000-0000-000002000000}"/>
    <cellStyle name="표준_Title Page" xfId="1" xr:uid="{00000000-0005-0000-0000-000003000000}"/>
    <cellStyle name="표준_수은측정일지(구리)" xfId="2" xr:uid="{00000000-0005-0000-0000-000004000000}"/>
    <cellStyle name="표준_혜성" xfId="3" xr:uid="{00000000-0005-0000-0000-000005000000}"/>
  </cellStyles>
  <dxfs count="0"/>
  <tableStyles count="0" defaultTableStyle="TableStyleMedium9" defaultPivotStyle="PivotStyleLight16"/>
  <colors>
    <mruColors>
      <color rgb="FF0000FF"/>
      <color rgb="FFFFFF99"/>
      <color rgb="FFCCFFCC"/>
      <color rgb="FFFF3399"/>
      <color rgb="FF99FFCC"/>
      <color rgb="FFCCFFFF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739726027397"/>
          <c:y val="7.9646247137280884E-2"/>
          <c:w val="0.81335616438356151"/>
          <c:h val="0.69616719719993658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연소가스자료!$B$4</c:f>
              <c:strCache>
                <c:ptCount val="1"/>
                <c:pt idx="0">
                  <c:v>O₂[%]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0.43402777777777773</c:v>
                </c:pt>
                <c:pt idx="1">
                  <c:v>0.4375</c:v>
                </c:pt>
                <c:pt idx="2">
                  <c:v>0.44097222222222227</c:v>
                </c:pt>
              </c:numCache>
            </c:numRef>
          </c:cat>
          <c:val>
            <c:numRef>
              <c:f>연소가스자료!$B$8:$B$10</c:f>
              <c:numCache>
                <c:formatCode>#,##0.00_ </c:formatCode>
                <c:ptCount val="3"/>
                <c:pt idx="0">
                  <c:v>20.5</c:v>
                </c:pt>
                <c:pt idx="1">
                  <c:v>20.51</c:v>
                </c:pt>
                <c:pt idx="2">
                  <c:v>20.5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87104"/>
        <c:axId val="68756608"/>
      </c:lineChart>
      <c:lineChart>
        <c:grouping val="standard"/>
        <c:varyColors val="0"/>
        <c:ser>
          <c:idx val="0"/>
          <c:order val="1"/>
          <c:tx>
            <c:strRef>
              <c:f>연소가스자료!$C$4</c:f>
              <c:strCache>
                <c:ptCount val="1"/>
                <c:pt idx="0">
                  <c:v>CO₂[%]</c:v>
                </c:pt>
              </c:strCache>
            </c:strRef>
          </c:tx>
          <c:spPr>
            <a:ln w="12700">
              <a:solidFill>
                <a:srgbClr val="00206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0.43402777777777773</c:v>
                </c:pt>
                <c:pt idx="1">
                  <c:v>0.4375</c:v>
                </c:pt>
                <c:pt idx="2">
                  <c:v>0.44097222222222227</c:v>
                </c:pt>
              </c:numCache>
            </c:numRef>
          </c:cat>
          <c:val>
            <c:numRef>
              <c:f>연소가스자료!$C$8:$C$10</c:f>
              <c:numCache>
                <c:formatCode>#,##0.0_ </c:formatCode>
                <c:ptCount val="3"/>
                <c:pt idx="0">
                  <c:v>0.2</c:v>
                </c:pt>
                <c:pt idx="1">
                  <c:v>0.3</c:v>
                </c:pt>
                <c:pt idx="2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8528"/>
        <c:axId val="68760320"/>
      </c:lineChart>
      <c:catAx>
        <c:axId val="6828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time</a:t>
                </a:r>
                <a:r>
                  <a:rPr lang="en-US" altLang="ko-KR" baseline="0"/>
                  <a:t> (</a:t>
                </a:r>
                <a:r>
                  <a:rPr lang="en-US" altLang="ko-KR"/>
                  <a:t>min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87600869984709862"/>
              <c:y val="0.870890218722659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56608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56608"/>
        <c:scaling>
          <c:orientation val="minMax"/>
          <c:max val="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986301090279781E-2"/>
              <c:y val="1.8682344706911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287104"/>
        <c:crosses val="autoZero"/>
        <c:crossBetween val="midCat"/>
      </c:valAx>
      <c:catAx>
        <c:axId val="6875852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60320"/>
        <c:crosses val="autoZero"/>
        <c:auto val="0"/>
        <c:lblAlgn val="ctr"/>
        <c:lblOffset val="100"/>
        <c:noMultiLvlLbl val="0"/>
      </c:catAx>
      <c:valAx>
        <c:axId val="6876032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4812160162222714"/>
              <c:y val="1.8304951881014875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5852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aseline="0">
                <a:latin typeface="+mn-ea"/>
                <a:ea typeface="맑은 고딕" pitchFamily="50" charset="-127"/>
              </a:defRPr>
            </a:pPr>
            <a:endParaRPr lang="ko-KR"/>
          </a:p>
        </c:txPr>
      </c:legendEntry>
      <c:layout>
        <c:manualLayout>
          <c:xMode val="edge"/>
          <c:yMode val="edge"/>
          <c:x val="0.22250082658796741"/>
          <c:y val="0.88423531058618055"/>
          <c:w val="0.5547945775829346"/>
          <c:h val="8.259611548556436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>
              <a:latin typeface="+mn-ea"/>
              <a:ea typeface="+mn-ea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돋움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02739726027399E-2"/>
          <c:y val="0.10290250724370677"/>
          <c:w val="0.82363013698630161"/>
          <c:h val="0.68073966330452729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연소가스자료!$D$4</c:f>
              <c:strCache>
                <c:ptCount val="1"/>
                <c:pt idx="0">
                  <c:v>CO [ppm] </c:v>
                </c:pt>
              </c:strCache>
            </c:strRef>
          </c:tx>
          <c:spPr>
            <a:ln w="12700">
              <a:solidFill>
                <a:srgbClr val="0070C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0.43402777777777773</c:v>
                </c:pt>
                <c:pt idx="1">
                  <c:v>0.4375</c:v>
                </c:pt>
                <c:pt idx="2">
                  <c:v>0.44097222222222227</c:v>
                </c:pt>
              </c:numCache>
            </c:numRef>
          </c:cat>
          <c:val>
            <c:numRef>
              <c:f>연소가스자료!$D$8:$D$10</c:f>
              <c:numCache>
                <c:formatCode>#,##0.0_ 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7584"/>
        <c:axId val="68790144"/>
      </c:lineChart>
      <c:lineChart>
        <c:grouping val="standard"/>
        <c:varyColors val="0"/>
        <c:ser>
          <c:idx val="0"/>
          <c:order val="1"/>
          <c:tx>
            <c:strRef>
              <c:f>연소가스자료!$F$4</c:f>
              <c:strCache>
                <c:ptCount val="1"/>
                <c:pt idx="0">
                  <c:v>SOx [ppm] 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0.43402777777777773</c:v>
                </c:pt>
                <c:pt idx="1">
                  <c:v>0.4375</c:v>
                </c:pt>
                <c:pt idx="2">
                  <c:v>0.44097222222222227</c:v>
                </c:pt>
              </c:numCache>
            </c:numRef>
          </c:cat>
          <c:val>
            <c:numRef>
              <c:f>연소가스자료!$F$8:$F$10</c:f>
              <c:numCache>
                <c:formatCode>#,##0.0_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86-4F89-B9C4-2901269EC74B}"/>
            </c:ext>
          </c:extLst>
        </c:ser>
        <c:ser>
          <c:idx val="2"/>
          <c:order val="2"/>
          <c:tx>
            <c:strRef>
              <c:f>연소가스자료!$E$4</c:f>
              <c:strCache>
                <c:ptCount val="1"/>
                <c:pt idx="0">
                  <c:v>NOx [ppm] </c:v>
                </c:pt>
              </c:strCache>
            </c:strRef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0.43402777777777773</c:v>
                </c:pt>
                <c:pt idx="1">
                  <c:v>0.4375</c:v>
                </c:pt>
                <c:pt idx="2">
                  <c:v>0.44097222222222227</c:v>
                </c:pt>
              </c:numCache>
            </c:numRef>
          </c:cat>
          <c:val>
            <c:numRef>
              <c:f>연소가스자료!$E$8:$E$10</c:f>
              <c:numCache>
                <c:formatCode>#,##0.0_ </c:formatCode>
                <c:ptCount val="3"/>
                <c:pt idx="0">
                  <c:v>0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2320"/>
        <c:axId val="68793856"/>
      </c:lineChart>
      <c:catAx>
        <c:axId val="6878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88579439252336833"/>
              <c:y val="0.87404036759556436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90144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90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CO, NOx, SOx</a:t>
                </a:r>
              </a:p>
            </c:rich>
          </c:tx>
          <c:layout>
            <c:manualLayout>
              <c:xMode val="edge"/>
              <c:yMode val="edge"/>
              <c:x val="9.3245353676585027E-3"/>
              <c:y val="1.9425119029932748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87584"/>
        <c:crosses val="autoZero"/>
        <c:crossBetween val="midCat"/>
      </c:valAx>
      <c:catAx>
        <c:axId val="6879232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93856"/>
        <c:crosses val="autoZero"/>
        <c:auto val="0"/>
        <c:lblAlgn val="ctr"/>
        <c:lblOffset val="100"/>
        <c:noMultiLvlLbl val="0"/>
      </c:catAx>
      <c:valAx>
        <c:axId val="68793856"/>
        <c:scaling>
          <c:orientation val="minMax"/>
          <c:max val="900"/>
        </c:scaling>
        <c:delete val="1"/>
        <c:axPos val="r"/>
        <c:numFmt formatCode="General" sourceLinked="0"/>
        <c:majorTickMark val="in"/>
        <c:minorTickMark val="none"/>
        <c:tickLblPos val="nextTo"/>
        <c:crossAx val="68792320"/>
        <c:crosses val="max"/>
        <c:crossBetween val="midCat"/>
        <c:majorUnit val="1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60570232459262"/>
          <c:y val="0.89357075648562789"/>
          <c:w val="0.77199712185509561"/>
          <c:h val="7.387850103642701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Arial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10.png"/><Relationship Id="rId21" Type="http://schemas.openxmlformats.org/officeDocument/2006/relationships/image" Target="../media/image28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Relationship Id="rId22" Type="http://schemas.openxmlformats.org/officeDocument/2006/relationships/image" Target="../media/image2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806824</xdr:colOff>
      <xdr:row>41</xdr:row>
      <xdr:rowOff>33619</xdr:rowOff>
    </xdr:from>
    <xdr:to>
      <xdr:col>6</xdr:col>
      <xdr:colOff>190499</xdr:colOff>
      <xdr:row>45</xdr:row>
      <xdr:rowOff>147713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8824" y="7541560"/>
          <a:ext cx="3384175" cy="7864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933450</xdr:colOff>
      <xdr:row>3</xdr:row>
      <xdr:rowOff>85725</xdr:rowOff>
    </xdr:from>
    <xdr:to>
      <xdr:col>8</xdr:col>
      <xdr:colOff>124136</xdr:colOff>
      <xdr:row>18</xdr:row>
      <xdr:rowOff>95762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9225" y="676275"/>
          <a:ext cx="2229161" cy="36676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426759</xdr:colOff>
      <xdr:row>3</xdr:row>
      <xdr:rowOff>190501</xdr:rowOff>
    </xdr:from>
    <xdr:to>
      <xdr:col>4</xdr:col>
      <xdr:colOff>381001</xdr:colOff>
      <xdr:row>13</xdr:row>
      <xdr:rowOff>30139</xdr:rowOff>
    </xdr:to>
    <xdr:pic>
      <xdr:nvPicPr>
        <xdr:cNvPr id="3391" name="Picture 17">
          <a:extLst>
            <a:ext uri="{FF2B5EF4-FFF2-40B4-BE49-F238E27FC236}">
              <a16:creationId xmlns:a16="http://schemas.microsoft.com/office/drawing/2014/main" id="{00000000-0008-0000-0300-00003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612" y="739589"/>
          <a:ext cx="2441948" cy="1935138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315445</xdr:colOff>
      <xdr:row>3</xdr:row>
      <xdr:rowOff>155202</xdr:rowOff>
    </xdr:from>
    <xdr:to>
      <xdr:col>8</xdr:col>
      <xdr:colOff>235323</xdr:colOff>
      <xdr:row>13</xdr:row>
      <xdr:rowOff>136761</xdr:rowOff>
    </xdr:to>
    <xdr:pic>
      <xdr:nvPicPr>
        <xdr:cNvPr id="3392" name="Picture 53">
          <a:extLst>
            <a:ext uri="{FF2B5EF4-FFF2-40B4-BE49-F238E27FC236}">
              <a16:creationId xmlns:a16="http://schemas.microsoft.com/office/drawing/2014/main" id="{00000000-0008-0000-0300-00004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6004" y="704290"/>
          <a:ext cx="2979084" cy="207705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57150</xdr:rowOff>
        </xdr:from>
        <xdr:to>
          <xdr:col>8</xdr:col>
          <xdr:colOff>542925</xdr:colOff>
          <xdr:row>32</xdr:row>
          <xdr:rowOff>142875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3</xdr:row>
      <xdr:rowOff>171450</xdr:rowOff>
    </xdr:from>
    <xdr:to>
      <xdr:col>15</xdr:col>
      <xdr:colOff>7793</xdr:colOff>
      <xdr:row>24</xdr:row>
      <xdr:rowOff>129886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165100</xdr:colOff>
      <xdr:row>25</xdr:row>
      <xdr:rowOff>77066</xdr:rowOff>
    </xdr:from>
    <xdr:to>
      <xdr:col>15</xdr:col>
      <xdr:colOff>30018</xdr:colOff>
      <xdr:row>41</xdr:row>
      <xdr:rowOff>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97810</xdr:colOff>
          <xdr:row>4</xdr:row>
          <xdr:rowOff>21776</xdr:rowOff>
        </xdr:from>
        <xdr:to>
          <xdr:col>6</xdr:col>
          <xdr:colOff>1302038</xdr:colOff>
          <xdr:row>9</xdr:row>
          <xdr:rowOff>292646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owPic" spid="_x0000_s524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2801445" y="974276"/>
              <a:ext cx="2552381" cy="18095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417578</xdr:colOff>
      <xdr:row>39</xdr:row>
      <xdr:rowOff>41141</xdr:rowOff>
    </xdr:from>
    <xdr:to>
      <xdr:col>10</xdr:col>
      <xdr:colOff>20811</xdr:colOff>
      <xdr:row>42</xdr:row>
      <xdr:rowOff>144016</xdr:rowOff>
    </xdr:to>
    <xdr:pic>
      <xdr:nvPicPr>
        <xdr:cNvPr id="15576" name="_x133882184" descr="DRW0000093c59cb">
          <a:extLst>
            <a:ext uri="{FF2B5EF4-FFF2-40B4-BE49-F238E27FC236}">
              <a16:creationId xmlns:a16="http://schemas.microsoft.com/office/drawing/2014/main" id="{00000000-0008-0000-0700-0000D8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578" y="6436498"/>
          <a:ext cx="5073304" cy="633554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628650</xdr:colOff>
      <xdr:row>21</xdr:row>
      <xdr:rowOff>38100</xdr:rowOff>
    </xdr:from>
    <xdr:to>
      <xdr:col>7</xdr:col>
      <xdr:colOff>133350</xdr:colOff>
      <xdr:row>23</xdr:row>
      <xdr:rowOff>123825</xdr:rowOff>
    </xdr:to>
    <xdr:pic>
      <xdr:nvPicPr>
        <xdr:cNvPr id="15578" name="_x134303384" descr="DRW0000093c59d1">
          <a:extLst>
            <a:ext uri="{FF2B5EF4-FFF2-40B4-BE49-F238E27FC236}">
              <a16:creationId xmlns:a16="http://schemas.microsoft.com/office/drawing/2014/main" id="{00000000-0008-0000-0700-0000DA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3200400"/>
          <a:ext cx="1933575" cy="42862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71</xdr:row>
      <xdr:rowOff>47625</xdr:rowOff>
    </xdr:from>
    <xdr:to>
      <xdr:col>4</xdr:col>
      <xdr:colOff>104775</xdr:colOff>
      <xdr:row>74</xdr:row>
      <xdr:rowOff>95250</xdr:rowOff>
    </xdr:to>
    <xdr:pic>
      <xdr:nvPicPr>
        <xdr:cNvPr id="15579" name="_x86845240" descr="DRW00000b3c627d">
          <a:extLst>
            <a:ext uri="{FF2B5EF4-FFF2-40B4-BE49-F238E27FC236}">
              <a16:creationId xmlns:a16="http://schemas.microsoft.com/office/drawing/2014/main" id="{00000000-0008-0000-0700-0000DB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0782300"/>
          <a:ext cx="1628775" cy="57150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76</xdr:row>
      <xdr:rowOff>76200</xdr:rowOff>
    </xdr:from>
    <xdr:to>
      <xdr:col>4</xdr:col>
      <xdr:colOff>114300</xdr:colOff>
      <xdr:row>79</xdr:row>
      <xdr:rowOff>38100</xdr:rowOff>
    </xdr:to>
    <xdr:pic>
      <xdr:nvPicPr>
        <xdr:cNvPr id="15580" name="_x86843880" descr="DRW00000b3c627f">
          <a:extLst>
            <a:ext uri="{FF2B5EF4-FFF2-40B4-BE49-F238E27FC236}">
              <a16:creationId xmlns:a16="http://schemas.microsoft.com/office/drawing/2014/main" id="{00000000-0008-0000-0700-0000DC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1706225"/>
          <a:ext cx="1638300" cy="50482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152400</xdr:colOff>
      <xdr:row>3</xdr:row>
      <xdr:rowOff>54088</xdr:rowOff>
    </xdr:from>
    <xdr:to>
      <xdr:col>8</xdr:col>
      <xdr:colOff>504265</xdr:colOff>
      <xdr:row>7</xdr:row>
      <xdr:rowOff>123825</xdr:rowOff>
    </xdr:to>
    <xdr:pic>
      <xdr:nvPicPr>
        <xdr:cNvPr id="15582" name="_x83189624" descr="DRW00000d902ab9">
          <a:extLst>
            <a:ext uri="{FF2B5EF4-FFF2-40B4-BE49-F238E27FC236}">
              <a16:creationId xmlns:a16="http://schemas.microsoft.com/office/drawing/2014/main" id="{00000000-0008-0000-0700-0000DE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4547" y="558353"/>
          <a:ext cx="3556747" cy="74209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704850</xdr:colOff>
      <xdr:row>13</xdr:row>
      <xdr:rowOff>28575</xdr:rowOff>
    </xdr:from>
    <xdr:to>
      <xdr:col>8</xdr:col>
      <xdr:colOff>38100</xdr:colOff>
      <xdr:row>15</xdr:row>
      <xdr:rowOff>161925</xdr:rowOff>
    </xdr:to>
    <xdr:pic>
      <xdr:nvPicPr>
        <xdr:cNvPr id="15583" name="_x83201912" descr="DRW00000d902abb">
          <a:extLst>
            <a:ext uri="{FF2B5EF4-FFF2-40B4-BE49-F238E27FC236}">
              <a16:creationId xmlns:a16="http://schemas.microsoft.com/office/drawing/2014/main" id="{00000000-0008-0000-0700-0000DF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790700"/>
          <a:ext cx="2247900" cy="47625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60513</xdr:colOff>
      <xdr:row>50</xdr:row>
      <xdr:rowOff>87966</xdr:rowOff>
    </xdr:from>
    <xdr:to>
      <xdr:col>10</xdr:col>
      <xdr:colOff>291354</xdr:colOff>
      <xdr:row>55</xdr:row>
      <xdr:rowOff>62042</xdr:rowOff>
    </xdr:to>
    <xdr:pic>
      <xdr:nvPicPr>
        <xdr:cNvPr id="15584" name="_x83433656" descr="DRW00000d902abd">
          <a:extLst>
            <a:ext uri="{FF2B5EF4-FFF2-40B4-BE49-F238E27FC236}">
              <a16:creationId xmlns:a16="http://schemas.microsoft.com/office/drawing/2014/main" id="{00000000-0008-0000-0700-0000E0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6013" y="8682878"/>
          <a:ext cx="3581400" cy="84813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84604</xdr:colOff>
      <xdr:row>3</xdr:row>
      <xdr:rowOff>67236</xdr:rowOff>
    </xdr:from>
    <xdr:to>
      <xdr:col>22</xdr:col>
      <xdr:colOff>335120</xdr:colOff>
      <xdr:row>9</xdr:row>
      <xdr:rowOff>40953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68310" y="414618"/>
          <a:ext cx="2991473" cy="1178858"/>
        </a:xfrm>
        <a:prstGeom prst="rect">
          <a:avLst/>
        </a:prstGeom>
      </xdr:spPr>
    </xdr:pic>
    <xdr:clientData/>
  </xdr:twoCellAnchor>
  <xdr:twoCellAnchor editAs="oneCell">
    <xdr:from>
      <xdr:col>13</xdr:col>
      <xdr:colOff>283349</xdr:colOff>
      <xdr:row>21</xdr:row>
      <xdr:rowOff>88270</xdr:rowOff>
    </xdr:from>
    <xdr:to>
      <xdr:col>19</xdr:col>
      <xdr:colOff>27284</xdr:colOff>
      <xdr:row>27</xdr:row>
      <xdr:rowOff>60102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230996" y="3550888"/>
          <a:ext cx="2653729" cy="1222817"/>
        </a:xfrm>
        <a:prstGeom prst="rect">
          <a:avLst/>
        </a:prstGeom>
      </xdr:spPr>
    </xdr:pic>
    <xdr:clientData/>
  </xdr:twoCellAnchor>
  <xdr:twoCellAnchor editAs="oneCell">
    <xdr:from>
      <xdr:col>13</xdr:col>
      <xdr:colOff>313765</xdr:colOff>
      <xdr:row>13</xdr:row>
      <xdr:rowOff>56029</xdr:rowOff>
    </xdr:from>
    <xdr:to>
      <xdr:col>22</xdr:col>
      <xdr:colOff>245341</xdr:colOff>
      <xdr:row>15</xdr:row>
      <xdr:rowOff>137525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61412" y="2297205"/>
          <a:ext cx="4413331" cy="481853"/>
        </a:xfrm>
        <a:prstGeom prst="rect">
          <a:avLst/>
        </a:prstGeom>
      </xdr:spPr>
    </xdr:pic>
    <xdr:clientData/>
  </xdr:twoCellAnchor>
  <xdr:twoCellAnchor editAs="oneCell">
    <xdr:from>
      <xdr:col>13</xdr:col>
      <xdr:colOff>280148</xdr:colOff>
      <xdr:row>17</xdr:row>
      <xdr:rowOff>156883</xdr:rowOff>
    </xdr:from>
    <xdr:to>
      <xdr:col>20</xdr:col>
      <xdr:colOff>105086</xdr:colOff>
      <xdr:row>20</xdr:row>
      <xdr:rowOff>7131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227795" y="3070412"/>
          <a:ext cx="3425015" cy="515470"/>
        </a:xfrm>
        <a:prstGeom prst="rect">
          <a:avLst/>
        </a:prstGeom>
      </xdr:spPr>
    </xdr:pic>
    <xdr:clientData/>
  </xdr:twoCellAnchor>
  <xdr:twoCellAnchor editAs="oneCell">
    <xdr:from>
      <xdr:col>17</xdr:col>
      <xdr:colOff>27214</xdr:colOff>
      <xdr:row>60</xdr:row>
      <xdr:rowOff>156883</xdr:rowOff>
    </xdr:from>
    <xdr:to>
      <xdr:col>20</xdr:col>
      <xdr:colOff>15688</xdr:colOff>
      <xdr:row>61</xdr:row>
      <xdr:rowOff>193374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10920" y="9838765"/>
          <a:ext cx="1855373" cy="234123"/>
        </a:xfrm>
        <a:prstGeom prst="rect">
          <a:avLst/>
        </a:prstGeom>
      </xdr:spPr>
    </xdr:pic>
    <xdr:clientData/>
  </xdr:twoCellAnchor>
  <xdr:twoCellAnchor editAs="oneCell">
    <xdr:from>
      <xdr:col>17</xdr:col>
      <xdr:colOff>8805</xdr:colOff>
      <xdr:row>63</xdr:row>
      <xdr:rowOff>0</xdr:rowOff>
    </xdr:from>
    <xdr:to>
      <xdr:col>22</xdr:col>
      <xdr:colOff>343151</xdr:colOff>
      <xdr:row>68</xdr:row>
      <xdr:rowOff>117289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592511" y="10186147"/>
          <a:ext cx="3105783" cy="118184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35217</xdr:colOff>
      <xdr:row>37</xdr:row>
      <xdr:rowOff>109850</xdr:rowOff>
    </xdr:from>
    <xdr:to>
      <xdr:col>12</xdr:col>
      <xdr:colOff>406081</xdr:colOff>
      <xdr:row>43</xdr:row>
      <xdr:rowOff>206265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094923" y="6485997"/>
          <a:ext cx="3001578" cy="1302576"/>
        </a:xfrm>
        <a:prstGeom prst="rect">
          <a:avLst/>
        </a:prstGeom>
      </xdr:spPr>
    </xdr:pic>
    <xdr:clientData/>
  </xdr:twoCellAnchor>
  <xdr:twoCellAnchor editAs="oneCell">
    <xdr:from>
      <xdr:col>16</xdr:col>
      <xdr:colOff>110459</xdr:colOff>
      <xdr:row>37</xdr:row>
      <xdr:rowOff>123265</xdr:rowOff>
    </xdr:from>
    <xdr:to>
      <xdr:col>22</xdr:col>
      <xdr:colOff>241151</xdr:colOff>
      <xdr:row>44</xdr:row>
      <xdr:rowOff>4211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357988" y="6342530"/>
          <a:ext cx="3343044" cy="1294926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285750</xdr:colOff>
      <xdr:row>70</xdr:row>
      <xdr:rowOff>95249</xdr:rowOff>
    </xdr:from>
    <xdr:to>
      <xdr:col>21</xdr:col>
      <xdr:colOff>31759</xdr:colOff>
      <xdr:row>74</xdr:row>
      <xdr:rowOff>50862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45286" y="11498035"/>
          <a:ext cx="2495238" cy="819048"/>
        </a:xfrm>
        <a:prstGeom prst="rect">
          <a:avLst/>
        </a:prstGeom>
      </xdr:spPr>
    </xdr:pic>
    <xdr:clientData/>
  </xdr:twoCellAnchor>
  <xdr:twoCellAnchor editAs="oneCell">
    <xdr:from>
      <xdr:col>16</xdr:col>
      <xdr:colOff>326571</xdr:colOff>
      <xdr:row>75</xdr:row>
      <xdr:rowOff>54428</xdr:rowOff>
    </xdr:from>
    <xdr:to>
      <xdr:col>19</xdr:col>
      <xdr:colOff>264188</xdr:colOff>
      <xdr:row>76</xdr:row>
      <xdr:rowOff>193298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586107" y="12355285"/>
          <a:ext cx="1533333" cy="371429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285750</xdr:colOff>
      <xdr:row>77</xdr:row>
      <xdr:rowOff>95249</xdr:rowOff>
    </xdr:from>
    <xdr:to>
      <xdr:col>19</xdr:col>
      <xdr:colOff>437575</xdr:colOff>
      <xdr:row>79</xdr:row>
      <xdr:rowOff>54872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545286" y="12749892"/>
          <a:ext cx="1838095" cy="40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224117</xdr:colOff>
      <xdr:row>16</xdr:row>
      <xdr:rowOff>44825</xdr:rowOff>
    </xdr:from>
    <xdr:to>
      <xdr:col>19</xdr:col>
      <xdr:colOff>28609</xdr:colOff>
      <xdr:row>17</xdr:row>
      <xdr:rowOff>70672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1764" y="2790266"/>
          <a:ext cx="2714286" cy="228571"/>
        </a:xfrm>
        <a:prstGeom prst="rect">
          <a:avLst/>
        </a:prstGeom>
      </xdr:spPr>
    </xdr:pic>
    <xdr:clientData/>
  </xdr:twoCellAnchor>
  <xdr:twoCellAnchor editAs="oneCell">
    <xdr:from>
      <xdr:col>11</xdr:col>
      <xdr:colOff>78440</xdr:colOff>
      <xdr:row>54</xdr:row>
      <xdr:rowOff>1</xdr:rowOff>
    </xdr:from>
    <xdr:to>
      <xdr:col>15</xdr:col>
      <xdr:colOff>177343</xdr:colOff>
      <xdr:row>55</xdr:row>
      <xdr:rowOff>48258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18411" y="9300883"/>
          <a:ext cx="2980417" cy="250982"/>
        </a:xfrm>
        <a:prstGeom prst="rect">
          <a:avLst/>
        </a:prstGeom>
      </xdr:spPr>
    </xdr:pic>
    <xdr:clientData/>
  </xdr:twoCellAnchor>
  <xdr:twoCellAnchor editAs="oneCell">
    <xdr:from>
      <xdr:col>15</xdr:col>
      <xdr:colOff>302560</xdr:colOff>
      <xdr:row>50</xdr:row>
      <xdr:rowOff>112060</xdr:rowOff>
    </xdr:from>
    <xdr:to>
      <xdr:col>22</xdr:col>
      <xdr:colOff>172324</xdr:colOff>
      <xdr:row>53</xdr:row>
      <xdr:rowOff>20375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169089" y="8706972"/>
          <a:ext cx="3425015" cy="515470"/>
        </a:xfrm>
        <a:prstGeom prst="rect">
          <a:avLst/>
        </a:prstGeom>
      </xdr:spPr>
    </xdr:pic>
    <xdr:clientData/>
  </xdr:twoCellAnchor>
  <xdr:twoCellAnchor editAs="oneCell">
    <xdr:from>
      <xdr:col>10</xdr:col>
      <xdr:colOff>515470</xdr:colOff>
      <xdr:row>50</xdr:row>
      <xdr:rowOff>67235</xdr:rowOff>
    </xdr:from>
    <xdr:to>
      <xdr:col>12</xdr:col>
      <xdr:colOff>72039</xdr:colOff>
      <xdr:row>53</xdr:row>
      <xdr:rowOff>86323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961529" y="8662147"/>
          <a:ext cx="2140324" cy="626243"/>
        </a:xfrm>
        <a:prstGeom prst="rect">
          <a:avLst/>
        </a:prstGeom>
      </xdr:spPr>
    </xdr:pic>
    <xdr:clientData/>
  </xdr:twoCellAnchor>
  <xdr:twoCellAnchor editAs="oneCell">
    <xdr:from>
      <xdr:col>11</xdr:col>
      <xdr:colOff>100851</xdr:colOff>
      <xdr:row>55</xdr:row>
      <xdr:rowOff>112058</xdr:rowOff>
    </xdr:from>
    <xdr:to>
      <xdr:col>15</xdr:col>
      <xdr:colOff>240385</xdr:colOff>
      <xdr:row>56</xdr:row>
      <xdr:rowOff>139239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754469" y="9581029"/>
          <a:ext cx="3066404" cy="236018"/>
        </a:xfrm>
        <a:prstGeom prst="rect">
          <a:avLst/>
        </a:prstGeom>
      </xdr:spPr>
    </xdr:pic>
    <xdr:clientData/>
  </xdr:twoCellAnchor>
  <xdr:twoCellAnchor editAs="oneCell">
    <xdr:from>
      <xdr:col>4</xdr:col>
      <xdr:colOff>134470</xdr:colOff>
      <xdr:row>60</xdr:row>
      <xdr:rowOff>67237</xdr:rowOff>
    </xdr:from>
    <xdr:to>
      <xdr:col>7</xdr:col>
      <xdr:colOff>836351</xdr:colOff>
      <xdr:row>64</xdr:row>
      <xdr:rowOff>135491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891117" y="10410266"/>
          <a:ext cx="2801472" cy="87405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1</xdr:col>
      <xdr:colOff>10602</xdr:colOff>
      <xdr:row>0</xdr:row>
      <xdr:rowOff>1800000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2544252" cy="18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1077</xdr:colOff>
      <xdr:row>0</xdr:row>
      <xdr:rowOff>1800000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3175" y="0"/>
          <a:ext cx="2544252" cy="18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0</xdr:row>
      <xdr:rowOff>0</xdr:rowOff>
    </xdr:from>
    <xdr:to>
      <xdr:col>3</xdr:col>
      <xdr:colOff>10602</xdr:colOff>
      <xdr:row>0</xdr:row>
      <xdr:rowOff>1800000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0"/>
          <a:ext cx="2544252" cy="18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</xdr:colOff>
      <xdr:row>0</xdr:row>
      <xdr:rowOff>0</xdr:rowOff>
    </xdr:from>
    <xdr:to>
      <xdr:col>4</xdr:col>
      <xdr:colOff>10602</xdr:colOff>
      <xdr:row>0</xdr:row>
      <xdr:rowOff>1800000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0"/>
          <a:ext cx="2544252" cy="18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0</xdr:row>
      <xdr:rowOff>225</xdr:rowOff>
    </xdr:from>
    <xdr:to>
      <xdr:col>5</xdr:col>
      <xdr:colOff>10602</xdr:colOff>
      <xdr:row>1</xdr:row>
      <xdr:rowOff>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225"/>
          <a:ext cx="2544252" cy="180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MO/Desktop/&#49689;&#47144;&#46020;%20&#49884;&#54744;%20&#50577;&#49885;(K%20factor)(2021.8).xls/&#49689;&#47144;&#46020;%20&#54217;&#44032;(&#52769;&#51221;&#50857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측정총괄"/>
      <sheetName val="사전조사"/>
      <sheetName val="연소가스자료"/>
      <sheetName val="측정자료"/>
      <sheetName val="등속계수 (I %)"/>
      <sheetName val="점검표"/>
      <sheetName val="분석의뢰서"/>
      <sheetName val="측정일지"/>
      <sheetName val="정도관리점검표"/>
      <sheetName val="기초자료"/>
    </sheetNames>
    <sheetDataSet>
      <sheetData sheetId="0"/>
      <sheetData sheetId="1">
        <row r="3">
          <cell r="I3" t="str">
            <v>Final Testing Result</v>
          </cell>
          <cell r="J3">
            <v>0</v>
          </cell>
          <cell r="M3">
            <v>0</v>
          </cell>
        </row>
        <row r="4">
          <cell r="J4">
            <v>0</v>
          </cell>
        </row>
        <row r="5">
          <cell r="J5">
            <v>0</v>
          </cell>
        </row>
        <row r="6">
          <cell r="I6" t="str">
            <v>O₂ Concentration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4">
          <cell r="F14">
            <v>0</v>
          </cell>
        </row>
        <row r="17">
          <cell r="I17">
            <v>0</v>
          </cell>
          <cell r="J17">
            <v>0</v>
          </cell>
        </row>
        <row r="18">
          <cell r="F18">
            <v>0</v>
          </cell>
        </row>
        <row r="19">
          <cell r="E19">
            <v>0</v>
          </cell>
          <cell r="F19">
            <v>0</v>
          </cell>
        </row>
        <row r="21">
          <cell r="I21" t="str">
            <v>Atmospheric Temperature</v>
          </cell>
          <cell r="J21">
            <v>0</v>
          </cell>
          <cell r="K21">
            <v>0</v>
          </cell>
          <cell r="L21">
            <v>27</v>
          </cell>
        </row>
        <row r="23">
          <cell r="F23">
            <v>0.84</v>
          </cell>
          <cell r="I23" t="str">
            <v>D(mm)</v>
          </cell>
        </row>
        <row r="24">
          <cell r="E24">
            <v>0</v>
          </cell>
          <cell r="I24">
            <v>2</v>
          </cell>
        </row>
        <row r="25">
          <cell r="E25">
            <v>0</v>
          </cell>
          <cell r="F25">
            <v>0</v>
          </cell>
          <cell r="G25">
            <v>0</v>
          </cell>
          <cell r="I25">
            <v>0</v>
          </cell>
          <cell r="J25" t="str">
            <v xml:space="preserve"> </v>
          </cell>
          <cell r="K25">
            <v>0</v>
          </cell>
        </row>
        <row r="26">
          <cell r="E26" t="str">
            <v>(Dn)</v>
          </cell>
          <cell r="F26">
            <v>9.5250000000000004</v>
          </cell>
        </row>
        <row r="35">
          <cell r="E35">
            <v>0</v>
          </cell>
        </row>
        <row r="39">
          <cell r="H39">
            <v>0</v>
          </cell>
          <cell r="I39">
            <v>0</v>
          </cell>
          <cell r="J39">
            <v>0</v>
          </cell>
        </row>
        <row r="41">
          <cell r="I41">
            <v>0</v>
          </cell>
        </row>
        <row r="47">
          <cell r="E47">
            <v>0</v>
          </cell>
          <cell r="J47">
            <v>0</v>
          </cell>
        </row>
        <row r="48">
          <cell r="J48">
            <v>0</v>
          </cell>
        </row>
      </sheetData>
      <sheetData sheetId="2"/>
      <sheetData sheetId="3">
        <row r="4">
          <cell r="B4" t="str">
            <v>O₂[%]</v>
          </cell>
        </row>
      </sheetData>
      <sheetData sheetId="4">
        <row r="79">
          <cell r="M79" t="str">
            <v/>
          </cell>
        </row>
        <row r="80">
          <cell r="L80" t="str">
            <v/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oleObject" Target="../embeddings/Microsoft_Word_97_-_2003_Document.doc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51"/>
  <sheetViews>
    <sheetView view="pageBreakPreview" zoomScale="85" zoomScaleNormal="85" zoomScaleSheetLayoutView="85" workbookViewId="0">
      <selection activeCell="D22" sqref="D22"/>
    </sheetView>
  </sheetViews>
  <sheetFormatPr defaultRowHeight="13.5"/>
  <cols>
    <col min="2" max="2" width="16.109375" customWidth="1"/>
    <col min="3" max="3" width="3.88671875" customWidth="1"/>
    <col min="4" max="8" width="8.88671875" customWidth="1"/>
  </cols>
  <sheetData>
    <row r="1" spans="1:9">
      <c r="A1" s="16"/>
      <c r="B1" s="9"/>
      <c r="C1" s="9"/>
      <c r="D1" s="9"/>
      <c r="E1" s="9"/>
      <c r="F1" s="9"/>
      <c r="G1" s="9"/>
      <c r="H1" s="9"/>
      <c r="I1" s="9"/>
    </row>
    <row r="2" spans="1:9">
      <c r="A2" s="9"/>
      <c r="B2" s="9"/>
      <c r="C2" s="9"/>
      <c r="D2" s="9"/>
      <c r="E2" s="9"/>
      <c r="F2" s="9"/>
      <c r="G2" s="9"/>
      <c r="H2" s="9"/>
      <c r="I2" s="9"/>
    </row>
    <row r="3" spans="1:9">
      <c r="A3" s="9"/>
      <c r="B3" s="9"/>
      <c r="C3" s="9"/>
      <c r="D3" s="9"/>
      <c r="E3" s="9"/>
      <c r="F3" s="9"/>
      <c r="G3" s="9"/>
      <c r="H3" s="9"/>
      <c r="I3" s="9"/>
    </row>
    <row r="4" spans="1:9">
      <c r="A4" s="9"/>
      <c r="B4" s="9"/>
      <c r="C4" s="9"/>
      <c r="D4" s="9"/>
      <c r="E4" s="9"/>
      <c r="F4" s="9"/>
      <c r="G4" s="9"/>
      <c r="H4" s="9"/>
      <c r="I4" s="9"/>
    </row>
    <row r="5" spans="1:9">
      <c r="A5" s="9"/>
      <c r="B5" s="9"/>
      <c r="C5" s="9"/>
      <c r="D5" s="9"/>
      <c r="E5" s="9"/>
      <c r="F5" s="9"/>
      <c r="G5" s="9"/>
      <c r="H5" s="9"/>
      <c r="I5" s="9"/>
    </row>
    <row r="6" spans="1:9">
      <c r="A6" s="9"/>
      <c r="B6" s="9"/>
      <c r="C6" s="9"/>
      <c r="D6" s="9"/>
      <c r="E6" s="9"/>
      <c r="F6" s="9"/>
      <c r="G6" s="9"/>
      <c r="H6" s="9"/>
      <c r="I6" s="9"/>
    </row>
    <row r="7" spans="1:9">
      <c r="A7" s="9"/>
      <c r="B7" s="9"/>
      <c r="C7" s="9"/>
      <c r="D7" s="9"/>
      <c r="E7" s="9"/>
      <c r="F7" s="9"/>
      <c r="G7" s="9"/>
      <c r="H7" s="9"/>
      <c r="I7" s="9"/>
    </row>
    <row r="8" spans="1:9">
      <c r="A8" s="9"/>
      <c r="B8" s="9"/>
      <c r="C8" s="9"/>
      <c r="D8" s="9"/>
      <c r="E8" s="9"/>
      <c r="F8" s="9"/>
      <c r="G8" s="9"/>
      <c r="H8" s="9"/>
      <c r="I8" s="9"/>
    </row>
    <row r="9" spans="1:9">
      <c r="A9" s="9"/>
      <c r="B9" s="9"/>
      <c r="C9" s="9"/>
      <c r="D9" s="9"/>
      <c r="E9" s="9"/>
      <c r="F9" s="9"/>
      <c r="G9" s="9"/>
      <c r="H9" s="9"/>
      <c r="I9" s="9"/>
    </row>
    <row r="10" spans="1:9" ht="39">
      <c r="A10" s="301" t="s">
        <v>231</v>
      </c>
      <c r="B10" s="301"/>
      <c r="C10" s="301"/>
      <c r="D10" s="301"/>
      <c r="E10" s="301"/>
      <c r="F10" s="301"/>
      <c r="G10" s="301"/>
      <c r="H10" s="301"/>
      <c r="I10" s="9"/>
    </row>
    <row r="11" spans="1:9">
      <c r="A11" s="9"/>
      <c r="B11" s="9"/>
      <c r="C11" s="9"/>
      <c r="D11" s="9"/>
      <c r="E11" s="9"/>
      <c r="F11" s="9"/>
      <c r="G11" s="9"/>
      <c r="H11" s="9"/>
      <c r="I11" s="9"/>
    </row>
    <row r="12" spans="1:9">
      <c r="A12" s="9"/>
      <c r="B12" s="9"/>
      <c r="C12" s="9"/>
      <c r="D12" s="9"/>
      <c r="E12" s="9"/>
      <c r="F12" s="9"/>
      <c r="G12" s="9"/>
      <c r="H12" s="9"/>
      <c r="I12" s="9"/>
    </row>
    <row r="13" spans="1:9">
      <c r="A13" s="9"/>
      <c r="B13" s="9"/>
      <c r="C13" s="9"/>
      <c r="D13" s="9"/>
      <c r="E13" s="9"/>
      <c r="F13" s="9"/>
      <c r="G13" s="9"/>
      <c r="H13" s="9"/>
      <c r="I13" s="9"/>
    </row>
    <row r="14" spans="1:9">
      <c r="A14" s="9"/>
      <c r="B14" s="9"/>
      <c r="C14" s="9"/>
      <c r="D14" s="9"/>
      <c r="E14" s="9"/>
      <c r="F14" s="9"/>
      <c r="G14" s="9"/>
      <c r="H14" s="9"/>
      <c r="I14" s="9"/>
    </row>
    <row r="15" spans="1:9">
      <c r="A15" s="9"/>
      <c r="B15" s="9"/>
      <c r="C15" s="9"/>
      <c r="D15" s="9"/>
      <c r="E15" s="9"/>
      <c r="F15" s="9"/>
      <c r="G15" s="9"/>
      <c r="H15" s="9"/>
      <c r="I15" s="9"/>
    </row>
    <row r="16" spans="1:9">
      <c r="A16" s="9"/>
      <c r="B16" s="9"/>
      <c r="C16" s="9"/>
      <c r="D16" s="9"/>
      <c r="E16" s="9"/>
      <c r="F16" s="9"/>
      <c r="G16" s="9"/>
      <c r="H16" s="9"/>
      <c r="I16" s="9"/>
    </row>
    <row r="17" spans="1:14">
      <c r="A17" s="9"/>
      <c r="B17" s="9"/>
      <c r="C17" s="9"/>
      <c r="D17" s="9"/>
      <c r="E17" s="9"/>
      <c r="F17" s="9"/>
      <c r="G17" s="9"/>
      <c r="H17" s="9"/>
      <c r="I17" s="9"/>
    </row>
    <row r="18" spans="1:14">
      <c r="A18" s="10"/>
      <c r="B18" s="9"/>
      <c r="C18" s="10"/>
      <c r="D18" s="10"/>
      <c r="E18" s="10"/>
      <c r="F18" s="10"/>
      <c r="G18" s="10"/>
      <c r="H18" s="10"/>
      <c r="I18" s="9"/>
    </row>
    <row r="19" spans="1:14" ht="26.25">
      <c r="A19" s="9"/>
      <c r="B19" s="40" t="s">
        <v>233</v>
      </c>
      <c r="C19" s="40" t="s">
        <v>234</v>
      </c>
      <c r="D19" s="41" t="s">
        <v>286</v>
      </c>
      <c r="E19" s="41"/>
      <c r="F19" s="41"/>
      <c r="G19" s="41"/>
      <c r="H19" s="9"/>
      <c r="I19" s="9"/>
      <c r="K19" s="15"/>
      <c r="L19" s="15"/>
      <c r="M19" s="15"/>
      <c r="N19" s="15"/>
    </row>
    <row r="20" spans="1:14" ht="26.25">
      <c r="A20" s="9"/>
      <c r="B20" s="40" t="s">
        <v>235</v>
      </c>
      <c r="C20" s="40" t="s">
        <v>234</v>
      </c>
      <c r="D20" s="302" t="s">
        <v>287</v>
      </c>
      <c r="E20" s="302"/>
      <c r="F20" s="302"/>
      <c r="G20" s="302"/>
      <c r="H20" s="9"/>
      <c r="I20" s="9"/>
      <c r="K20" s="298"/>
      <c r="L20" s="298"/>
      <c r="M20" s="298"/>
      <c r="N20" s="298"/>
    </row>
    <row r="21" spans="1:14" ht="26.25">
      <c r="A21" s="9"/>
      <c r="B21" s="40" t="s">
        <v>236</v>
      </c>
      <c r="C21" s="40" t="s">
        <v>234</v>
      </c>
      <c r="D21" s="302">
        <v>46085</v>
      </c>
      <c r="E21" s="302"/>
      <c r="F21" s="302"/>
      <c r="G21" s="302"/>
      <c r="H21" s="9"/>
      <c r="I21" s="9"/>
      <c r="K21" s="298"/>
      <c r="L21" s="298"/>
      <c r="M21" s="298"/>
      <c r="N21" s="298"/>
    </row>
    <row r="22" spans="1:14">
      <c r="A22" s="9"/>
      <c r="B22" s="9"/>
      <c r="C22" s="9"/>
      <c r="D22" s="9"/>
      <c r="E22" s="9"/>
      <c r="F22" s="9"/>
      <c r="G22" s="9"/>
      <c r="H22" s="9"/>
      <c r="I22" s="9"/>
    </row>
    <row r="23" spans="1:14">
      <c r="A23" s="10"/>
      <c r="B23" s="9"/>
      <c r="C23" s="10"/>
      <c r="D23" s="10"/>
      <c r="E23" s="10"/>
      <c r="F23" s="10"/>
      <c r="G23" s="10"/>
      <c r="H23" s="10"/>
      <c r="I23" s="9"/>
    </row>
    <row r="24" spans="1:14">
      <c r="A24" s="10"/>
      <c r="B24" s="9"/>
      <c r="C24" s="10"/>
      <c r="D24" s="10"/>
      <c r="E24" s="10"/>
      <c r="F24" s="10"/>
      <c r="G24" s="10"/>
      <c r="H24" s="10"/>
      <c r="I24" s="9"/>
    </row>
    <row r="25" spans="1:14">
      <c r="A25" s="9"/>
      <c r="B25" s="9"/>
      <c r="C25" s="9"/>
      <c r="D25" s="9"/>
      <c r="E25" s="9"/>
      <c r="F25" s="9"/>
      <c r="G25" s="9"/>
      <c r="H25" s="9"/>
      <c r="I25" s="9"/>
    </row>
    <row r="26" spans="1:14">
      <c r="A26" s="9"/>
      <c r="B26" s="9"/>
      <c r="C26" s="9"/>
      <c r="D26" s="9"/>
      <c r="E26" s="9"/>
      <c r="F26" s="9"/>
      <c r="G26" s="9"/>
      <c r="H26" s="9"/>
      <c r="I26" s="9"/>
    </row>
    <row r="27" spans="1:14">
      <c r="A27" s="9"/>
      <c r="B27" s="9"/>
      <c r="C27" s="9"/>
      <c r="D27" s="9"/>
      <c r="E27" s="9"/>
      <c r="F27" s="9"/>
      <c r="G27" s="9"/>
      <c r="H27" s="9"/>
      <c r="I27" s="9"/>
    </row>
    <row r="28" spans="1:14">
      <c r="A28" s="9"/>
      <c r="B28" s="9"/>
      <c r="C28" s="9"/>
      <c r="D28" s="9"/>
      <c r="E28" s="9"/>
      <c r="F28" s="9"/>
      <c r="G28" s="9"/>
      <c r="H28" s="9"/>
      <c r="I28" s="9"/>
    </row>
    <row r="29" spans="1:14">
      <c r="A29" s="9"/>
      <c r="B29" s="9"/>
      <c r="C29" s="9"/>
      <c r="D29" s="9"/>
      <c r="E29" s="9"/>
      <c r="F29" s="9"/>
      <c r="G29" s="9"/>
      <c r="H29" s="9"/>
      <c r="I29" s="9"/>
    </row>
    <row r="30" spans="1:14">
      <c r="A30" s="9"/>
      <c r="B30" s="9"/>
      <c r="C30" s="9"/>
      <c r="D30" s="9"/>
      <c r="E30" s="9"/>
      <c r="F30" s="9"/>
      <c r="G30" s="9"/>
      <c r="H30" s="9"/>
      <c r="I30" s="9"/>
    </row>
    <row r="31" spans="1:14">
      <c r="A31" s="9"/>
      <c r="B31" s="9"/>
      <c r="C31" s="9"/>
      <c r="D31" s="9"/>
      <c r="E31" s="9"/>
      <c r="F31" s="9"/>
      <c r="G31" s="9"/>
      <c r="H31" s="9"/>
      <c r="I31" s="9"/>
    </row>
    <row r="32" spans="1:14">
      <c r="A32" s="9"/>
      <c r="B32" s="9"/>
      <c r="C32" s="9"/>
      <c r="D32" s="9"/>
      <c r="E32" s="9"/>
      <c r="F32" s="9"/>
      <c r="G32" s="9"/>
      <c r="H32" s="9"/>
    </row>
    <row r="33" spans="1:9">
      <c r="A33" s="9"/>
      <c r="B33" s="9"/>
      <c r="C33" s="9"/>
      <c r="D33" s="9"/>
      <c r="E33" s="9"/>
      <c r="F33" s="9"/>
      <c r="G33" s="9"/>
      <c r="H33" s="9"/>
      <c r="I33" s="9"/>
    </row>
    <row r="34" spans="1:9">
      <c r="A34" s="11"/>
      <c r="B34" s="11"/>
      <c r="C34" s="11"/>
      <c r="D34" s="11"/>
      <c r="E34" s="11"/>
      <c r="F34" s="11"/>
      <c r="G34" s="11"/>
      <c r="H34" s="9"/>
      <c r="I34" s="9"/>
    </row>
    <row r="35" spans="1:9">
      <c r="A35" s="11"/>
      <c r="B35" s="11"/>
      <c r="C35" s="11"/>
      <c r="D35" s="11"/>
      <c r="E35" s="11"/>
      <c r="F35" s="11"/>
      <c r="G35" s="11"/>
      <c r="H35" s="9"/>
      <c r="I35" s="9"/>
    </row>
    <row r="36" spans="1:9">
      <c r="A36" s="11"/>
      <c r="B36" s="11"/>
      <c r="C36" s="11"/>
      <c r="D36" s="11"/>
      <c r="E36" s="11"/>
      <c r="F36" s="11"/>
      <c r="G36" s="11"/>
      <c r="H36" s="9"/>
      <c r="I36" s="9"/>
    </row>
    <row r="37" spans="1:9">
      <c r="A37" s="11"/>
      <c r="B37" s="11"/>
      <c r="C37" s="11"/>
      <c r="D37" s="11"/>
      <c r="E37" s="11"/>
      <c r="F37" s="11"/>
      <c r="G37" s="11"/>
      <c r="H37" s="9"/>
      <c r="I37" s="9"/>
    </row>
    <row r="38" spans="1:9">
      <c r="A38" s="11"/>
      <c r="B38" s="11"/>
      <c r="C38" s="11"/>
      <c r="D38" s="11"/>
      <c r="E38" s="11"/>
      <c r="F38" s="11"/>
      <c r="G38" s="11"/>
      <c r="H38" s="9"/>
      <c r="I38" s="9"/>
    </row>
    <row r="39" spans="1:9">
      <c r="A39" s="11"/>
      <c r="B39" s="9"/>
      <c r="C39" s="9"/>
      <c r="D39" s="9"/>
      <c r="E39" s="9"/>
      <c r="F39" s="9"/>
      <c r="G39" s="9"/>
      <c r="H39" s="9"/>
      <c r="I39" s="9"/>
    </row>
    <row r="40" spans="1:9">
      <c r="A40" s="11"/>
      <c r="B40" s="9"/>
      <c r="C40" s="12"/>
      <c r="D40" s="9"/>
      <c r="E40" s="9"/>
      <c r="F40" s="9"/>
      <c r="G40" s="9"/>
      <c r="H40" s="9"/>
      <c r="I40" s="9"/>
    </row>
    <row r="41" spans="1:9">
      <c r="A41" s="11"/>
      <c r="B41" s="11"/>
      <c r="C41" s="11"/>
      <c r="D41" s="11"/>
      <c r="E41" s="11"/>
      <c r="F41" s="11"/>
      <c r="G41" s="11"/>
      <c r="H41" s="9"/>
      <c r="I41" s="9"/>
    </row>
    <row r="42" spans="1:9">
      <c r="A42" s="11"/>
      <c r="B42" s="11"/>
      <c r="C42" s="11"/>
      <c r="D42" s="11"/>
      <c r="E42" s="11"/>
      <c r="F42" s="11"/>
      <c r="G42" s="11"/>
      <c r="H42" s="9"/>
      <c r="I42" s="9"/>
    </row>
    <row r="43" spans="1:9">
      <c r="A43" s="11"/>
      <c r="B43" s="12"/>
      <c r="C43" s="11"/>
      <c r="D43" s="11"/>
      <c r="E43" s="11"/>
      <c r="F43" s="11"/>
      <c r="G43" s="11"/>
      <c r="H43" s="9"/>
      <c r="I43" s="9"/>
    </row>
    <row r="44" spans="1:9">
      <c r="A44" s="11"/>
      <c r="B44" s="11"/>
      <c r="C44" s="11"/>
      <c r="D44" s="11"/>
      <c r="E44" s="11"/>
      <c r="F44" s="11"/>
      <c r="G44" s="11"/>
      <c r="H44" s="9"/>
      <c r="I44" s="9"/>
    </row>
    <row r="45" spans="1:9">
      <c r="A45" s="11"/>
      <c r="B45" s="11"/>
      <c r="C45" s="11"/>
      <c r="D45" s="11"/>
      <c r="E45" s="11"/>
      <c r="F45" s="11"/>
      <c r="G45" s="11"/>
      <c r="H45" s="9"/>
      <c r="I45" s="9"/>
    </row>
    <row r="46" spans="1:9">
      <c r="A46" s="9"/>
      <c r="B46" s="9"/>
      <c r="C46" s="9"/>
      <c r="D46" s="9"/>
      <c r="E46" s="9"/>
      <c r="F46" s="9"/>
      <c r="G46" s="9"/>
      <c r="H46" s="9"/>
      <c r="I46" s="9"/>
    </row>
    <row r="47" spans="1:9">
      <c r="A47" s="9"/>
      <c r="B47" s="9"/>
      <c r="C47" s="9"/>
      <c r="D47" s="9"/>
      <c r="E47" s="9"/>
      <c r="F47" s="9"/>
      <c r="G47" s="9"/>
      <c r="H47" s="9"/>
      <c r="I47" s="9"/>
    </row>
    <row r="48" spans="1:9">
      <c r="A48" s="9"/>
      <c r="B48" s="9"/>
      <c r="C48" s="9"/>
      <c r="D48" s="9"/>
      <c r="E48" s="9"/>
      <c r="F48" s="9"/>
      <c r="G48" s="9"/>
      <c r="H48" s="9"/>
      <c r="I48" s="9"/>
    </row>
    <row r="49" spans="1:9">
      <c r="A49" s="299" t="s">
        <v>220</v>
      </c>
      <c r="B49" s="300"/>
      <c r="C49" s="300"/>
      <c r="D49" s="300"/>
      <c r="E49" s="300"/>
      <c r="F49" s="300"/>
      <c r="G49" s="300"/>
      <c r="H49" s="300"/>
      <c r="I49" s="9"/>
    </row>
    <row r="50" spans="1:9">
      <c r="A50" s="9"/>
      <c r="B50" s="9"/>
      <c r="C50" s="9"/>
      <c r="D50" s="9"/>
      <c r="E50" s="9"/>
      <c r="F50" s="9"/>
      <c r="G50" s="9"/>
      <c r="H50" s="9"/>
      <c r="I50" s="9"/>
    </row>
    <row r="51" spans="1:9">
      <c r="A51" s="9"/>
      <c r="B51" s="9"/>
      <c r="C51" s="9"/>
      <c r="D51" s="9"/>
      <c r="E51" s="9"/>
      <c r="F51" s="9"/>
      <c r="G51" s="9"/>
      <c r="H51" s="9"/>
      <c r="I51" s="9"/>
    </row>
  </sheetData>
  <mergeCells count="6">
    <mergeCell ref="K20:N20"/>
    <mergeCell ref="K21:N21"/>
    <mergeCell ref="A49:H49"/>
    <mergeCell ref="A10:H10"/>
    <mergeCell ref="D20:G20"/>
    <mergeCell ref="D21:G21"/>
  </mergeCells>
  <phoneticPr fontId="3" type="noConversion"/>
  <pageMargins left="0.7" right="0.7" top="0.75" bottom="0.75" header="0.3" footer="0.3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2:J18"/>
  <sheetViews>
    <sheetView view="pageBreakPreview" zoomScale="85" zoomScaleNormal="100" zoomScaleSheetLayoutView="85" workbookViewId="0">
      <selection activeCell="E26" sqref="E26"/>
    </sheetView>
  </sheetViews>
  <sheetFormatPr defaultColWidth="8.88671875" defaultRowHeight="16.5"/>
  <cols>
    <col min="1" max="1" width="1.21875" style="38" customWidth="1"/>
    <col min="2" max="2" width="9.5546875" style="38" bestFit="1" customWidth="1"/>
    <col min="3" max="3" width="12.33203125" style="38" bestFit="1" customWidth="1"/>
    <col min="4" max="4" width="22.6640625" style="38" bestFit="1" customWidth="1"/>
    <col min="5" max="5" width="20.6640625" style="38" bestFit="1" customWidth="1"/>
    <col min="6" max="16384" width="8.88671875" style="38"/>
  </cols>
  <sheetData>
    <row r="2" spans="2:10" ht="13.5" customHeight="1">
      <c r="B2" s="306" t="s">
        <v>129</v>
      </c>
      <c r="C2" s="306"/>
      <c r="D2" s="306"/>
      <c r="E2" s="306"/>
      <c r="F2" s="42"/>
      <c r="G2" s="42"/>
      <c r="H2" s="42"/>
      <c r="I2" s="42"/>
      <c r="J2" s="42"/>
    </row>
    <row r="3" spans="2:10" ht="13.5" customHeight="1">
      <c r="B3" s="306"/>
      <c r="C3" s="306"/>
      <c r="D3" s="306"/>
      <c r="E3" s="306"/>
      <c r="F3" s="42"/>
      <c r="G3" s="42"/>
      <c r="H3" s="42"/>
      <c r="I3" s="42"/>
      <c r="J3" s="42"/>
    </row>
    <row r="4" spans="2:10">
      <c r="B4" s="306"/>
      <c r="C4" s="306"/>
      <c r="D4" s="306"/>
      <c r="E4" s="306"/>
    </row>
    <row r="5" spans="2:10" ht="20.25">
      <c r="B5" s="43" t="s">
        <v>130</v>
      </c>
    </row>
    <row r="6" spans="2:10">
      <c r="B6" s="303" t="s">
        <v>138</v>
      </c>
      <c r="C6" s="303"/>
      <c r="D6" s="303"/>
      <c r="E6" s="303"/>
    </row>
    <row r="7" spans="2:10">
      <c r="B7" s="303"/>
      <c r="C7" s="303"/>
      <c r="D7" s="303"/>
      <c r="E7" s="303"/>
    </row>
    <row r="8" spans="2:10">
      <c r="B8" s="303" t="s">
        <v>139</v>
      </c>
      <c r="C8" s="303"/>
      <c r="D8" s="303"/>
      <c r="E8" s="303"/>
    </row>
    <row r="9" spans="2:10">
      <c r="B9" s="303"/>
      <c r="C9" s="303"/>
      <c r="D9" s="303"/>
      <c r="E9" s="303"/>
    </row>
    <row r="10" spans="2:10">
      <c r="B10" s="44"/>
      <c r="C10" s="44"/>
      <c r="D10" s="44"/>
      <c r="E10" s="44"/>
    </row>
    <row r="11" spans="2:10" ht="20.25">
      <c r="B11" s="43" t="s">
        <v>136</v>
      </c>
    </row>
    <row r="13" spans="2:10" ht="18.75" customHeight="1">
      <c r="B13" s="45" t="s">
        <v>131</v>
      </c>
      <c r="C13" s="46" t="s">
        <v>24</v>
      </c>
      <c r="D13" s="45" t="s">
        <v>135</v>
      </c>
      <c r="E13" s="46" t="s">
        <v>137</v>
      </c>
    </row>
    <row r="14" spans="2:10">
      <c r="B14" s="304">
        <f>표지!D21</f>
        <v>46085</v>
      </c>
      <c r="C14" s="47" t="s">
        <v>132</v>
      </c>
      <c r="D14" s="48" t="s">
        <v>175</v>
      </c>
      <c r="E14" s="48"/>
    </row>
    <row r="15" spans="2:10">
      <c r="B15" s="305"/>
      <c r="C15" s="47" t="s">
        <v>133</v>
      </c>
      <c r="D15" s="48" t="s">
        <v>175</v>
      </c>
      <c r="E15" s="48"/>
    </row>
    <row r="16" spans="2:10">
      <c r="B16" s="305"/>
      <c r="C16" s="47" t="s">
        <v>134</v>
      </c>
      <c r="D16" s="48" t="s">
        <v>175</v>
      </c>
      <c r="E16" s="48"/>
    </row>
    <row r="18" spans="2:5">
      <c r="B18" s="307" t="s">
        <v>220</v>
      </c>
      <c r="C18" s="307"/>
      <c r="D18" s="307"/>
      <c r="E18" s="307"/>
    </row>
  </sheetData>
  <mergeCells count="5">
    <mergeCell ref="B6:E7"/>
    <mergeCell ref="B8:E9"/>
    <mergeCell ref="B14:B16"/>
    <mergeCell ref="B2:E4"/>
    <mergeCell ref="B18:E18"/>
  </mergeCells>
  <phoneticPr fontId="3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K47"/>
  <sheetViews>
    <sheetView view="pageBreakPreview" zoomScale="85" zoomScaleNormal="85" zoomScaleSheetLayoutView="85" workbookViewId="0">
      <selection activeCell="A27" sqref="A27:XFD27"/>
    </sheetView>
  </sheetViews>
  <sheetFormatPr defaultColWidth="8.88671875" defaultRowHeight="16.5"/>
  <cols>
    <col min="1" max="1" width="1.109375" style="39" customWidth="1"/>
    <col min="2" max="2" width="10.44140625" style="39" customWidth="1"/>
    <col min="3" max="3" width="14.33203125" style="39" customWidth="1"/>
    <col min="4" max="4" width="11.44140625" style="39" bestFit="1" customWidth="1"/>
    <col min="5" max="5" width="12.77734375" style="39" bestFit="1" customWidth="1"/>
    <col min="6" max="6" width="14.109375" style="39" customWidth="1"/>
    <col min="7" max="8" width="10.6640625" style="39" bestFit="1" customWidth="1"/>
    <col min="9" max="9" width="9.44140625" style="39" bestFit="1" customWidth="1"/>
    <col min="10" max="11" width="8.88671875" style="39"/>
    <col min="12" max="12" width="10.109375" style="39" bestFit="1" customWidth="1"/>
    <col min="13" max="16384" width="8.88671875" style="39"/>
  </cols>
  <sheetData>
    <row r="1" spans="1:9" ht="13.5" customHeight="1"/>
    <row r="2" spans="1:9">
      <c r="A2" s="327" t="s">
        <v>28</v>
      </c>
      <c r="B2" s="327"/>
      <c r="C2" s="327"/>
      <c r="D2" s="327"/>
      <c r="E2" s="327"/>
      <c r="F2" s="327"/>
      <c r="G2" s="327"/>
      <c r="H2" s="327"/>
      <c r="I2" s="327"/>
    </row>
    <row r="3" spans="1:9">
      <c r="A3" s="327"/>
      <c r="B3" s="327"/>
      <c r="C3" s="327"/>
      <c r="D3" s="327"/>
      <c r="E3" s="327"/>
      <c r="F3" s="327"/>
      <c r="G3" s="327"/>
      <c r="H3" s="327"/>
      <c r="I3" s="327"/>
    </row>
    <row r="4" spans="1:9" ht="38.25">
      <c r="A4" s="78"/>
      <c r="B4" s="78"/>
      <c r="C4" s="78"/>
      <c r="D4" s="78"/>
      <c r="E4" s="78"/>
      <c r="F4" s="78"/>
      <c r="G4" s="78"/>
      <c r="H4" s="78"/>
      <c r="I4" s="78"/>
    </row>
    <row r="5" spans="1:9" ht="20.25">
      <c r="B5" s="112" t="s">
        <v>191</v>
      </c>
      <c r="C5" s="112" t="s">
        <v>260</v>
      </c>
      <c r="D5" s="112" t="s">
        <v>192</v>
      </c>
    </row>
    <row r="6" spans="1:9" ht="20.25">
      <c r="B6" s="79">
        <v>1</v>
      </c>
      <c r="C6" s="79" t="s">
        <v>189</v>
      </c>
      <c r="D6" s="345">
        <v>1</v>
      </c>
    </row>
    <row r="7" spans="1:9" ht="20.25">
      <c r="B7" s="79">
        <v>2</v>
      </c>
      <c r="C7" s="79" t="s">
        <v>190</v>
      </c>
      <c r="D7" s="345"/>
    </row>
    <row r="8" spans="1:9" ht="20.25">
      <c r="B8" s="80"/>
    </row>
    <row r="9" spans="1:9" ht="20.25">
      <c r="B9" s="80" t="s">
        <v>188</v>
      </c>
    </row>
    <row r="10" spans="1:9">
      <c r="B10" s="81" t="s">
        <v>193</v>
      </c>
      <c r="C10" s="81" t="s">
        <v>195</v>
      </c>
    </row>
    <row r="11" spans="1:9">
      <c r="B11" s="82">
        <v>1</v>
      </c>
      <c r="C11" s="83">
        <v>2.91</v>
      </c>
    </row>
    <row r="12" spans="1:9">
      <c r="B12" s="82">
        <v>2</v>
      </c>
      <c r="C12" s="83">
        <v>2.93</v>
      </c>
    </row>
    <row r="13" spans="1:9">
      <c r="B13" s="82">
        <v>3</v>
      </c>
      <c r="C13" s="83">
        <v>2.94</v>
      </c>
    </row>
    <row r="14" spans="1:9">
      <c r="B14" s="82">
        <v>4</v>
      </c>
      <c r="C14" s="83">
        <v>2.96</v>
      </c>
    </row>
    <row r="15" spans="1:9">
      <c r="B15" s="82">
        <v>5</v>
      </c>
      <c r="C15" s="83">
        <v>2.97</v>
      </c>
    </row>
    <row r="16" spans="1:9">
      <c r="B16" s="82" t="s">
        <v>194</v>
      </c>
      <c r="C16" s="84">
        <f>AVERAGE(C11:C15)</f>
        <v>2.9419999999999997</v>
      </c>
    </row>
    <row r="19" spans="2:11" ht="21" thickBot="1">
      <c r="B19" s="80" t="s">
        <v>186</v>
      </c>
    </row>
    <row r="20" spans="2:11" ht="20.100000000000001" customHeight="1" thickBot="1">
      <c r="B20" s="342" t="s">
        <v>148</v>
      </c>
      <c r="C20" s="310"/>
      <c r="D20" s="85" t="s">
        <v>127</v>
      </c>
      <c r="E20" s="86" t="s">
        <v>128</v>
      </c>
      <c r="F20" s="346" t="s">
        <v>149</v>
      </c>
      <c r="G20" s="347"/>
    </row>
    <row r="21" spans="2:11" ht="20.100000000000001" customHeight="1">
      <c r="B21" s="343" t="s">
        <v>150</v>
      </c>
      <c r="C21" s="344"/>
      <c r="D21" s="87"/>
      <c r="E21" s="88"/>
      <c r="F21" s="351">
        <f>E21-D21</f>
        <v>0</v>
      </c>
      <c r="G21" s="352"/>
      <c r="H21" s="89"/>
    </row>
    <row r="22" spans="2:11" ht="20.100000000000001" customHeight="1">
      <c r="B22" s="318" t="s">
        <v>151</v>
      </c>
      <c r="C22" s="319"/>
      <c r="D22" s="90"/>
      <c r="E22" s="91"/>
      <c r="F22" s="314">
        <f>E22-D22</f>
        <v>0</v>
      </c>
      <c r="G22" s="315"/>
      <c r="H22" s="89"/>
    </row>
    <row r="23" spans="2:11" ht="20.100000000000001" customHeight="1">
      <c r="B23" s="318" t="s">
        <v>152</v>
      </c>
      <c r="C23" s="319"/>
      <c r="D23" s="90"/>
      <c r="E23" s="91"/>
      <c r="F23" s="314">
        <f>E23-D23</f>
        <v>0</v>
      </c>
      <c r="G23" s="315"/>
      <c r="H23" s="89"/>
    </row>
    <row r="24" spans="2:11" ht="20.100000000000001" customHeight="1" thickBot="1">
      <c r="B24" s="353" t="s">
        <v>153</v>
      </c>
      <c r="C24" s="354"/>
      <c r="D24" s="92"/>
      <c r="E24" s="93"/>
      <c r="F24" s="320">
        <f>E24-D24</f>
        <v>0</v>
      </c>
      <c r="G24" s="321"/>
      <c r="H24" s="89"/>
    </row>
    <row r="25" spans="2:11" ht="20.100000000000001" customHeight="1" thickBot="1">
      <c r="B25" s="322" t="s">
        <v>257</v>
      </c>
      <c r="C25" s="323"/>
      <c r="D25" s="323"/>
      <c r="E25" s="324"/>
      <c r="F25" s="325">
        <f>SUM(F21:G24)</f>
        <v>0</v>
      </c>
      <c r="G25" s="326"/>
      <c r="H25" s="89"/>
    </row>
    <row r="26" spans="2:11" ht="21" thickBot="1">
      <c r="B26" s="80"/>
    </row>
    <row r="27" spans="2:11" ht="20.100000000000001" customHeight="1">
      <c r="B27" s="328" t="s">
        <v>258</v>
      </c>
      <c r="C27" s="329"/>
      <c r="D27" s="94" t="s">
        <v>19</v>
      </c>
      <c r="E27" s="94" t="s">
        <v>7</v>
      </c>
      <c r="F27" s="94" t="s">
        <v>116</v>
      </c>
      <c r="G27" s="86" t="s">
        <v>26</v>
      </c>
      <c r="H27" s="86" t="s">
        <v>26</v>
      </c>
      <c r="I27" s="95" t="s">
        <v>25</v>
      </c>
      <c r="K27" s="96"/>
    </row>
    <row r="28" spans="2:11" ht="20.100000000000001" customHeight="1" thickBot="1">
      <c r="B28" s="97" t="s">
        <v>22</v>
      </c>
      <c r="C28" s="98" t="s">
        <v>23</v>
      </c>
      <c r="D28" s="99" t="s">
        <v>40</v>
      </c>
      <c r="E28" s="100" t="s">
        <v>12</v>
      </c>
      <c r="F28" s="100" t="s">
        <v>27</v>
      </c>
      <c r="G28" s="100" t="s">
        <v>259</v>
      </c>
      <c r="H28" s="100" t="s">
        <v>27</v>
      </c>
      <c r="I28" s="101" t="s">
        <v>5</v>
      </c>
      <c r="K28" s="96"/>
    </row>
    <row r="29" spans="2:11">
      <c r="B29" s="330"/>
      <c r="C29" s="330"/>
      <c r="D29" s="332">
        <f>(C29-B29)*노즐산정!F9</f>
        <v>0</v>
      </c>
      <c r="E29" s="334"/>
      <c r="F29" s="336">
        <v>774</v>
      </c>
      <c r="G29" s="338"/>
      <c r="H29" s="338"/>
      <c r="I29" s="340" t="e">
        <f>22.4/18*F25/(D29*(273/(273+E29))*((F29+H29)/760)+22.4/18*F25)*100</f>
        <v>#DIV/0!</v>
      </c>
      <c r="J29" s="102"/>
    </row>
    <row r="30" spans="2:11" ht="17.25" thickBot="1">
      <c r="B30" s="331"/>
      <c r="C30" s="331"/>
      <c r="D30" s="333"/>
      <c r="E30" s="335"/>
      <c r="F30" s="337"/>
      <c r="G30" s="339"/>
      <c r="H30" s="339"/>
      <c r="I30" s="341"/>
    </row>
    <row r="31" spans="2:11" ht="20.25">
      <c r="B31" s="80"/>
    </row>
    <row r="32" spans="2:11" ht="21" thickBot="1">
      <c r="B32" s="80" t="s">
        <v>126</v>
      </c>
      <c r="C32" s="103"/>
      <c r="D32" s="103"/>
      <c r="E32" s="104"/>
      <c r="F32" s="104"/>
      <c r="G32" s="104"/>
      <c r="H32" s="104"/>
      <c r="I32" s="96"/>
    </row>
    <row r="33" spans="2:9" ht="19.5" customHeight="1" thickBot="1">
      <c r="B33" s="342" t="s">
        <v>148</v>
      </c>
      <c r="C33" s="310"/>
      <c r="D33" s="85" t="s">
        <v>127</v>
      </c>
      <c r="E33" s="86" t="s">
        <v>128</v>
      </c>
      <c r="F33" s="310" t="s">
        <v>149</v>
      </c>
      <c r="G33" s="311"/>
    </row>
    <row r="34" spans="2:9" ht="19.5" customHeight="1">
      <c r="B34" s="343" t="s">
        <v>150</v>
      </c>
      <c r="C34" s="344"/>
      <c r="D34" s="105">
        <v>637.09</v>
      </c>
      <c r="E34" s="88">
        <v>651.04999999999995</v>
      </c>
      <c r="F34" s="312">
        <f>E34-D34</f>
        <v>13.959999999999923</v>
      </c>
      <c r="G34" s="313"/>
      <c r="H34" s="106"/>
    </row>
    <row r="35" spans="2:9" ht="19.5" customHeight="1">
      <c r="B35" s="318" t="s">
        <v>151</v>
      </c>
      <c r="C35" s="319"/>
      <c r="D35" s="107">
        <v>626.53</v>
      </c>
      <c r="E35" s="91">
        <v>628.16</v>
      </c>
      <c r="F35" s="314">
        <f>E35-D35</f>
        <v>1.6299999999999955</v>
      </c>
      <c r="G35" s="315"/>
      <c r="H35" s="106"/>
    </row>
    <row r="36" spans="2:9" ht="19.5" customHeight="1">
      <c r="B36" s="318" t="s">
        <v>152</v>
      </c>
      <c r="C36" s="319"/>
      <c r="D36" s="107">
        <v>522.72</v>
      </c>
      <c r="E36" s="91">
        <v>524.36</v>
      </c>
      <c r="F36" s="314">
        <f>E36-D36</f>
        <v>1.6399999999999864</v>
      </c>
      <c r="G36" s="315"/>
      <c r="H36" s="106"/>
    </row>
    <row r="37" spans="2:9" ht="19.5" customHeight="1" thickBot="1">
      <c r="B37" s="353" t="s">
        <v>153</v>
      </c>
      <c r="C37" s="354"/>
      <c r="D37" s="108">
        <v>749.64</v>
      </c>
      <c r="E37" s="93">
        <v>755.84</v>
      </c>
      <c r="F37" s="316">
        <f>E37-D37</f>
        <v>6.2000000000000455</v>
      </c>
      <c r="G37" s="317"/>
      <c r="H37" s="106"/>
    </row>
    <row r="38" spans="2:9" ht="19.5" customHeight="1" thickBot="1">
      <c r="B38" s="109" t="s">
        <v>201</v>
      </c>
      <c r="C38" s="110"/>
      <c r="D38" s="110"/>
      <c r="E38" s="111"/>
      <c r="F38" s="308">
        <f>SUM(F34:G37)</f>
        <v>23.42999999999995</v>
      </c>
      <c r="G38" s="309"/>
      <c r="H38" s="106"/>
      <c r="I38" s="106"/>
    </row>
    <row r="41" spans="2:9" ht="21" thickBot="1">
      <c r="B41" s="80" t="s">
        <v>140</v>
      </c>
    </row>
    <row r="42" spans="2:9">
      <c r="B42" s="328" t="s">
        <v>258</v>
      </c>
      <c r="C42" s="329"/>
      <c r="D42" s="94" t="s">
        <v>19</v>
      </c>
      <c r="E42" s="94" t="s">
        <v>7</v>
      </c>
      <c r="F42" s="94" t="s">
        <v>116</v>
      </c>
      <c r="G42" s="86" t="s">
        <v>26</v>
      </c>
      <c r="H42" s="86" t="s">
        <v>26</v>
      </c>
      <c r="I42" s="95" t="s">
        <v>25</v>
      </c>
    </row>
    <row r="43" spans="2:9" ht="18.75" thickBot="1">
      <c r="B43" s="97" t="s">
        <v>22</v>
      </c>
      <c r="C43" s="98" t="s">
        <v>23</v>
      </c>
      <c r="D43" s="99" t="s">
        <v>40</v>
      </c>
      <c r="E43" s="100" t="s">
        <v>12</v>
      </c>
      <c r="F43" s="100" t="s">
        <v>27</v>
      </c>
      <c r="G43" s="100" t="s">
        <v>259</v>
      </c>
      <c r="H43" s="100" t="s">
        <v>27</v>
      </c>
      <c r="I43" s="101" t="s">
        <v>5</v>
      </c>
    </row>
    <row r="44" spans="2:9">
      <c r="B44" s="360">
        <f>'기록지(수분량자동측정기)'!G17</f>
        <v>4769.32</v>
      </c>
      <c r="C44" s="362">
        <f>MAX('기록지(수분량자동측정기)'!G17:G26)</f>
        <v>5802.95</v>
      </c>
      <c r="D44" s="332">
        <f>(C44-B44)*노즐산정!F9</f>
        <v>1024.3273300000001</v>
      </c>
      <c r="E44" s="358">
        <f>'기록지(수분량자동측정기)'!H27</f>
        <v>10.1</v>
      </c>
      <c r="F44" s="355">
        <f>노즐산정!C9</f>
        <v>774</v>
      </c>
      <c r="G44" s="357">
        <f>'기록지(수분량자동측정기)'!F27</f>
        <v>38.501086931032233</v>
      </c>
      <c r="H44" s="357">
        <f>G44/13.6</f>
        <v>2.8309622743406053</v>
      </c>
      <c r="I44" s="340">
        <f>22.4/18*F38/(D44*(273/(273+E44))*((F44+H44)/760)+22.4/18*F38)*100</f>
        <v>2.8067858193053357</v>
      </c>
    </row>
    <row r="45" spans="2:9" ht="17.25" thickBot="1">
      <c r="B45" s="361"/>
      <c r="C45" s="363"/>
      <c r="D45" s="333"/>
      <c r="E45" s="359"/>
      <c r="F45" s="356"/>
      <c r="G45" s="308"/>
      <c r="H45" s="308"/>
      <c r="I45" s="341"/>
    </row>
    <row r="46" spans="2:9" ht="17.25" thickBot="1"/>
    <row r="47" spans="2:9" ht="17.25" thickBot="1">
      <c r="B47" s="348" t="s">
        <v>220</v>
      </c>
      <c r="C47" s="349"/>
      <c r="D47" s="349"/>
      <c r="E47" s="349"/>
      <c r="F47" s="349"/>
      <c r="G47" s="349"/>
      <c r="H47" s="349"/>
      <c r="I47" s="350"/>
    </row>
  </sheetData>
  <mergeCells count="44">
    <mergeCell ref="B47:I47"/>
    <mergeCell ref="F21:G21"/>
    <mergeCell ref="F22:G22"/>
    <mergeCell ref="B24:C24"/>
    <mergeCell ref="B34:C34"/>
    <mergeCell ref="F44:F45"/>
    <mergeCell ref="G44:G45"/>
    <mergeCell ref="H44:H45"/>
    <mergeCell ref="I44:I45"/>
    <mergeCell ref="B37:C37"/>
    <mergeCell ref="E44:E45"/>
    <mergeCell ref="B33:C33"/>
    <mergeCell ref="B42:C42"/>
    <mergeCell ref="B44:B45"/>
    <mergeCell ref="C44:C45"/>
    <mergeCell ref="D44:D45"/>
    <mergeCell ref="A2:I3"/>
    <mergeCell ref="B35:C35"/>
    <mergeCell ref="B36:C36"/>
    <mergeCell ref="B27:C27"/>
    <mergeCell ref="B29:B30"/>
    <mergeCell ref="C29:C30"/>
    <mergeCell ref="D29:D30"/>
    <mergeCell ref="E29:E30"/>
    <mergeCell ref="F29:F30"/>
    <mergeCell ref="G29:G30"/>
    <mergeCell ref="H29:H30"/>
    <mergeCell ref="I29:I30"/>
    <mergeCell ref="B20:C20"/>
    <mergeCell ref="B21:C21"/>
    <mergeCell ref="D6:D7"/>
    <mergeCell ref="F20:G20"/>
    <mergeCell ref="B23:C23"/>
    <mergeCell ref="B22:C22"/>
    <mergeCell ref="F23:G23"/>
    <mergeCell ref="F24:G24"/>
    <mergeCell ref="B25:E25"/>
    <mergeCell ref="F25:G25"/>
    <mergeCell ref="F38:G38"/>
    <mergeCell ref="F33:G33"/>
    <mergeCell ref="F34:G34"/>
    <mergeCell ref="F35:G35"/>
    <mergeCell ref="F36:G36"/>
    <mergeCell ref="F37:G37"/>
  </mergeCells>
  <phoneticPr fontId="3" type="noConversion"/>
  <pageMargins left="0.75" right="0.75" top="1" bottom="1" header="0.5" footer="0.5"/>
  <pageSetup paperSize="9" scale="78" fitToHeight="0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N51"/>
  <sheetViews>
    <sheetView view="pageBreakPreview" zoomScale="85" zoomScaleNormal="85" zoomScaleSheetLayoutView="85" workbookViewId="0">
      <selection activeCell="G54" sqref="G54"/>
    </sheetView>
  </sheetViews>
  <sheetFormatPr defaultColWidth="8.88671875" defaultRowHeight="16.5"/>
  <cols>
    <col min="1" max="1" width="1.109375" style="38" customWidth="1"/>
    <col min="2" max="2" width="8.88671875" style="38"/>
    <col min="3" max="3" width="11.21875" style="38" customWidth="1"/>
    <col min="4" max="6" width="8.88671875" style="38"/>
    <col min="7" max="7" width="10.77734375" style="38" customWidth="1"/>
    <col min="8" max="8" width="16.109375" style="38" bestFit="1" customWidth="1"/>
    <col min="9" max="16384" width="8.88671875" style="38"/>
  </cols>
  <sheetData>
    <row r="2" spans="1:9" ht="13.5" customHeight="1">
      <c r="A2" s="49"/>
      <c r="B2" s="306" t="s">
        <v>46</v>
      </c>
      <c r="C2" s="306"/>
      <c r="D2" s="306"/>
      <c r="E2" s="306"/>
      <c r="F2" s="306"/>
      <c r="G2" s="306"/>
      <c r="H2" s="306"/>
      <c r="I2" s="306"/>
    </row>
    <row r="3" spans="1:9" ht="13.5" customHeight="1">
      <c r="A3" s="49"/>
      <c r="B3" s="306"/>
      <c r="C3" s="306"/>
      <c r="D3" s="306"/>
      <c r="E3" s="306"/>
      <c r="F3" s="306"/>
      <c r="G3" s="306"/>
      <c r="H3" s="306"/>
      <c r="I3" s="306"/>
    </row>
    <row r="6" spans="1:9" ht="15.75" customHeight="1"/>
    <row r="7" spans="1:9" ht="15" customHeight="1"/>
    <row r="19" spans="6:6" ht="17.25">
      <c r="F19" s="50"/>
    </row>
    <row r="35" spans="2:14" ht="18" thickBot="1">
      <c r="B35" s="51" t="s">
        <v>219</v>
      </c>
      <c r="C35" s="51">
        <v>1.1990000000000001</v>
      </c>
      <c r="F35" s="52" t="s">
        <v>191</v>
      </c>
      <c r="G35" s="52" t="s">
        <v>202</v>
      </c>
      <c r="H35" s="52" t="s">
        <v>192</v>
      </c>
    </row>
    <row r="36" spans="2:14" ht="15.75" customHeight="1">
      <c r="B36" s="377" t="s">
        <v>47</v>
      </c>
      <c r="C36" s="379" t="s">
        <v>256</v>
      </c>
      <c r="D36" s="385" t="s">
        <v>203</v>
      </c>
      <c r="F36" s="53">
        <v>1</v>
      </c>
      <c r="G36" s="53" t="s">
        <v>204</v>
      </c>
      <c r="H36" s="387">
        <v>1</v>
      </c>
    </row>
    <row r="37" spans="2:14" ht="14.45" customHeight="1" thickBot="1">
      <c r="B37" s="378"/>
      <c r="C37" s="380"/>
      <c r="D37" s="386"/>
      <c r="F37" s="53">
        <v>2</v>
      </c>
      <c r="G37" s="54" t="s">
        <v>205</v>
      </c>
      <c r="H37" s="387"/>
      <c r="N37" s="55"/>
    </row>
    <row r="38" spans="2:14" ht="17.25">
      <c r="B38" s="381">
        <f>C35-(C38/100)</f>
        <v>1.0937000000000001</v>
      </c>
      <c r="C38" s="383">
        <v>10.53</v>
      </c>
      <c r="D38" s="388">
        <f>D/2</f>
        <v>0.54685000000000006</v>
      </c>
      <c r="G38" s="56" t="s">
        <v>206</v>
      </c>
      <c r="H38" s="57">
        <f>IF(D&gt;4.5,5,(IF(D&gt;4,4,IF(D&gt;2,3,IF(D&gt;1,2,1)))))</f>
        <v>2</v>
      </c>
      <c r="N38" s="51"/>
    </row>
    <row r="39" spans="2:14" ht="18" thickBot="1">
      <c r="B39" s="382"/>
      <c r="C39" s="384"/>
      <c r="D39" s="389"/>
      <c r="G39" s="58" t="s">
        <v>207</v>
      </c>
      <c r="H39" s="59">
        <f>IF(H36=1,H38,H38*4)</f>
        <v>2</v>
      </c>
      <c r="N39" s="51"/>
    </row>
    <row r="40" spans="2:14">
      <c r="B40" s="60"/>
    </row>
    <row r="41" spans="2:14">
      <c r="B41" s="60"/>
    </row>
    <row r="42" spans="2:14" ht="17.25" thickBot="1">
      <c r="B42" s="60"/>
      <c r="H42" s="61" t="s">
        <v>119</v>
      </c>
      <c r="I42" s="51" t="s">
        <v>208</v>
      </c>
      <c r="J42" s="51"/>
    </row>
    <row r="43" spans="2:14">
      <c r="B43" s="367" t="s">
        <v>209</v>
      </c>
      <c r="C43" s="368"/>
      <c r="F43" s="371" t="s">
        <v>200</v>
      </c>
      <c r="G43" s="372"/>
      <c r="H43" s="373"/>
      <c r="I43" s="62">
        <v>0</v>
      </c>
      <c r="J43" s="51" t="s">
        <v>199</v>
      </c>
    </row>
    <row r="44" spans="2:14" ht="17.25" thickBot="1">
      <c r="B44" s="369"/>
      <c r="C44" s="370"/>
      <c r="F44" s="374"/>
      <c r="G44" s="375"/>
      <c r="H44" s="376"/>
      <c r="I44" s="51"/>
      <c r="J44" s="51"/>
    </row>
    <row r="45" spans="2:14" ht="17.25">
      <c r="B45" s="63" t="s">
        <v>210</v>
      </c>
      <c r="C45" s="64">
        <f>IF(D38&lt;=0.285,0,IF(H38=5,0.316*$D$38*100,(IF(H38=4,0.354*$D$38*100,IF(H38=3,0.408*$D$38*100,IF(H38=2,0.5*$D$38*100,0.707*$D$38*100))))))</f>
        <v>27.342500000000001</v>
      </c>
      <c r="E45" s="51" t="s">
        <v>211</v>
      </c>
      <c r="F45" s="65" t="s">
        <v>41</v>
      </c>
      <c r="G45" s="66">
        <f>IF(C45="","",($D$38*100)-C45)</f>
        <v>27.342500000000001</v>
      </c>
      <c r="H45" s="67">
        <f>IF(G45="","",G45+$C$38)</f>
        <v>37.872500000000002</v>
      </c>
      <c r="I45" s="68">
        <f>IF(H45="","",H45+$I$43)</f>
        <v>37.872500000000002</v>
      </c>
      <c r="J45" s="69">
        <f>D38*100+C45+I43+C38</f>
        <v>92.557500000000005</v>
      </c>
      <c r="K45" s="38" t="s">
        <v>227</v>
      </c>
    </row>
    <row r="46" spans="2:14" ht="17.25">
      <c r="B46" s="63" t="s">
        <v>212</v>
      </c>
      <c r="C46" s="64">
        <f>IF(H38=5,0.548*$D$38*100,(IF(H38=4,0.612*$D$38*100,IF(H38=3,0.707*$D$38*100,IF(H38=2,0.866*$D$38*100,"")))))</f>
        <v>47.357210000000002</v>
      </c>
      <c r="E46" s="51"/>
      <c r="F46" s="65" t="s">
        <v>42</v>
      </c>
      <c r="G46" s="66">
        <f>IF(C46="","",($D$38*100)-C46)</f>
        <v>7.3277900000000002</v>
      </c>
      <c r="H46" s="70">
        <f>IF(G46="","",G46+$C$38)</f>
        <v>17.857790000000001</v>
      </c>
      <c r="I46" s="68">
        <f t="shared" ref="I46:I49" si="0">IF(H46="","",H46+$I$43)</f>
        <v>17.857790000000001</v>
      </c>
      <c r="J46" s="69">
        <f>IF(C46="","",D38*100+C46+C38+I43)</f>
        <v>112.57221000000001</v>
      </c>
    </row>
    <row r="47" spans="2:14" ht="17.25">
      <c r="B47" s="63" t="s">
        <v>213</v>
      </c>
      <c r="C47" s="64" t="str">
        <f>IF(H38=5,0.707*$D$38*100,(IF(H38=4,0.791*$D$38*100,IF(H38=3,0.913*$D$38*100,""))))</f>
        <v/>
      </c>
      <c r="E47" s="51"/>
      <c r="F47" s="65" t="s">
        <v>43</v>
      </c>
      <c r="G47" s="66" t="str">
        <f>IF(C47="","",($D$38*100)-C47)</f>
        <v/>
      </c>
      <c r="H47" s="70" t="str">
        <f>IF(G47="","",G47+$C$38)</f>
        <v/>
      </c>
      <c r="I47" s="68" t="str">
        <f t="shared" si="0"/>
        <v/>
      </c>
      <c r="J47" s="69" t="str">
        <f>IF(C47="","",D38*100+C47+C38+I43)</f>
        <v/>
      </c>
    </row>
    <row r="48" spans="2:14" ht="17.25">
      <c r="B48" s="63" t="s">
        <v>214</v>
      </c>
      <c r="C48" s="71" t="str">
        <f>IF(H38=5,0.837*$D$38*100,(IF(H38=4,0.935*$D$38*100,"")))</f>
        <v/>
      </c>
      <c r="E48" s="51"/>
      <c r="F48" s="65" t="s">
        <v>44</v>
      </c>
      <c r="G48" s="66" t="str">
        <f>IF(C48="","",($D$38*100)-C48)</f>
        <v/>
      </c>
      <c r="H48" s="70" t="str">
        <f>IF(G48="","",G48+$C$38)</f>
        <v/>
      </c>
      <c r="I48" s="68" t="str">
        <f t="shared" si="0"/>
        <v/>
      </c>
    </row>
    <row r="49" spans="1:9" ht="18" thickBot="1">
      <c r="B49" s="72" t="s">
        <v>215</v>
      </c>
      <c r="C49" s="73" t="str">
        <f>IF(H38=5,0.949*$D$38*100,"")</f>
        <v/>
      </c>
      <c r="E49" s="51" t="s">
        <v>216</v>
      </c>
      <c r="F49" s="74" t="s">
        <v>45</v>
      </c>
      <c r="G49" s="75" t="str">
        <f>IF(C49="","",($D$38*100)-C49)</f>
        <v/>
      </c>
      <c r="H49" s="76" t="str">
        <f>IF(G49="","",G49+$C$38)</f>
        <v/>
      </c>
      <c r="I49" s="68" t="str">
        <f t="shared" si="0"/>
        <v/>
      </c>
    </row>
    <row r="50" spans="1:9" ht="17.25" thickBot="1"/>
    <row r="51" spans="1:9" ht="17.25" thickBot="1">
      <c r="A51" s="77"/>
      <c r="B51" s="364" t="s">
        <v>220</v>
      </c>
      <c r="C51" s="365"/>
      <c r="D51" s="365"/>
      <c r="E51" s="365"/>
      <c r="F51" s="365"/>
      <c r="G51" s="365"/>
      <c r="H51" s="365"/>
      <c r="I51" s="366"/>
    </row>
  </sheetData>
  <mergeCells count="11">
    <mergeCell ref="B2:I3"/>
    <mergeCell ref="B51:I51"/>
    <mergeCell ref="B43:C44"/>
    <mergeCell ref="F43:H44"/>
    <mergeCell ref="B36:B37"/>
    <mergeCell ref="C36:C37"/>
    <mergeCell ref="B38:B39"/>
    <mergeCell ref="C38:C39"/>
    <mergeCell ref="D36:D37"/>
    <mergeCell ref="H36:H37"/>
    <mergeCell ref="D38:D39"/>
  </mergeCells>
  <phoneticPr fontId="3" type="noConversion"/>
  <pageMargins left="0.75" right="0.75" top="1" bottom="1" header="0.5" footer="0.5"/>
  <pageSetup paperSize="9" scale="82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3074" r:id="rId4">
          <objectPr locked="0" defaultSize="0" autoPict="0" r:id="rId5">
            <anchor moveWithCells="1">
              <from>
                <xdr:col>1</xdr:col>
                <xdr:colOff>152400</xdr:colOff>
                <xdr:row>15</xdr:row>
                <xdr:rowOff>57150</xdr:rowOff>
              </from>
              <to>
                <xdr:col>8</xdr:col>
                <xdr:colOff>542925</xdr:colOff>
                <xdr:row>32</xdr:row>
                <xdr:rowOff>142875</xdr:rowOff>
              </to>
            </anchor>
          </objectPr>
        </oleObject>
      </mc:Choice>
      <mc:Fallback>
        <oleObject progId="Word.Document.8" shapeId="3074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42"/>
  <sheetViews>
    <sheetView showGridLines="0" view="pageBreakPreview" zoomScale="85" zoomScaleNormal="90" zoomScaleSheetLayoutView="85" workbookViewId="0">
      <selection activeCell="E11" sqref="E11"/>
    </sheetView>
  </sheetViews>
  <sheetFormatPr defaultColWidth="8.88671875" defaultRowHeight="16.5"/>
  <cols>
    <col min="1" max="1" width="17.109375" style="17" bestFit="1" customWidth="1"/>
    <col min="2" max="6" width="11" style="17" customWidth="1"/>
    <col min="7" max="7" width="2.44140625" style="17" customWidth="1"/>
    <col min="8" max="16384" width="8.88671875" style="17"/>
  </cols>
  <sheetData>
    <row r="1" spans="1:11" ht="14.25" customHeight="1">
      <c r="A1" s="390" t="s">
        <v>168</v>
      </c>
      <c r="B1" s="391"/>
      <c r="C1" s="391"/>
      <c r="D1" s="391"/>
      <c r="E1" s="391"/>
      <c r="F1" s="392"/>
      <c r="H1" s="18"/>
      <c r="I1" s="18"/>
      <c r="J1" s="18"/>
      <c r="K1" s="18"/>
    </row>
    <row r="2" spans="1:11" ht="17.25" thickBot="1">
      <c r="A2" s="393"/>
      <c r="B2" s="394"/>
      <c r="C2" s="394"/>
      <c r="D2" s="394"/>
      <c r="E2" s="394"/>
      <c r="F2" s="395"/>
      <c r="H2" s="18"/>
      <c r="I2" s="18"/>
      <c r="J2" s="18"/>
      <c r="K2" s="18"/>
    </row>
    <row r="3" spans="1:11" ht="18.75" customHeight="1">
      <c r="A3" s="396" t="str">
        <f>표지!D20</f>
        <v>#A-2</v>
      </c>
      <c r="B3" s="396"/>
      <c r="C3" s="19"/>
      <c r="D3" s="20"/>
      <c r="E3" s="397"/>
      <c r="F3" s="397"/>
      <c r="H3" s="18"/>
      <c r="I3" s="18"/>
      <c r="J3" s="18"/>
      <c r="K3" s="18"/>
    </row>
    <row r="4" spans="1:11" s="23" customFormat="1" ht="16.5" customHeight="1" thickBot="1">
      <c r="A4" s="21" t="s">
        <v>169</v>
      </c>
      <c r="B4" s="22" t="s">
        <v>170</v>
      </c>
      <c r="C4" s="22" t="s">
        <v>171</v>
      </c>
      <c r="D4" s="22" t="s">
        <v>196</v>
      </c>
      <c r="E4" s="22" t="s">
        <v>197</v>
      </c>
      <c r="F4" s="22" t="s">
        <v>198</v>
      </c>
    </row>
    <row r="5" spans="1:11" ht="17.25" thickTop="1">
      <c r="A5" s="24" t="s">
        <v>172</v>
      </c>
      <c r="B5" s="25">
        <f>IF(B8="","",AVERAGE(B8:B10))</f>
        <v>20.503333333333334</v>
      </c>
      <c r="C5" s="26">
        <f t="shared" ref="C5:F5" si="0">IF(C8="","",AVERAGE(C8:C10))</f>
        <v>0.26666666666666666</v>
      </c>
      <c r="D5" s="26">
        <f t="shared" si="0"/>
        <v>9</v>
      </c>
      <c r="E5" s="26">
        <f t="shared" si="0"/>
        <v>0.66666666666666663</v>
      </c>
      <c r="F5" s="26">
        <f t="shared" si="0"/>
        <v>0</v>
      </c>
    </row>
    <row r="6" spans="1:11">
      <c r="A6" s="27" t="s">
        <v>173</v>
      </c>
      <c r="B6" s="28">
        <f>IF(B8="","",MAX(B8:B42))</f>
        <v>20.51</v>
      </c>
      <c r="C6" s="28">
        <f>IF(C8="","",MAX(C8:C42))</f>
        <v>0.3</v>
      </c>
      <c r="D6" s="28">
        <f>IF(D8="","",MAX(D8:D42))</f>
        <v>10</v>
      </c>
      <c r="E6" s="28">
        <f>IF(E8="","",MAX(E8:E42))</f>
        <v>1</v>
      </c>
      <c r="F6" s="28">
        <f>IF(F8="","",MAX(F8:F42))</f>
        <v>0</v>
      </c>
    </row>
    <row r="7" spans="1:11" ht="17.25" thickBot="1">
      <c r="A7" s="29" t="s">
        <v>174</v>
      </c>
      <c r="B7" s="30">
        <f>IF(B8="","",MIN(B8:B42))</f>
        <v>20.5</v>
      </c>
      <c r="C7" s="30">
        <f>IF(C8="","",MIN(C8:C42))</f>
        <v>0.2</v>
      </c>
      <c r="D7" s="30">
        <f>IF(D8="","",MIN(D8:D42))</f>
        <v>8</v>
      </c>
      <c r="E7" s="30">
        <f>IF(E8="","",MIN(E8:E42))</f>
        <v>0</v>
      </c>
      <c r="F7" s="30">
        <f>IF(F8="","",MIN(F8:F42))</f>
        <v>0</v>
      </c>
    </row>
    <row r="8" spans="1:11" ht="17.25" thickTop="1">
      <c r="A8" s="31">
        <v>0.43402777777777773</v>
      </c>
      <c r="B8" s="32">
        <v>20.5</v>
      </c>
      <c r="C8" s="33">
        <v>0.2</v>
      </c>
      <c r="D8" s="33">
        <v>8</v>
      </c>
      <c r="E8" s="33">
        <v>0</v>
      </c>
      <c r="F8" s="33">
        <v>0</v>
      </c>
    </row>
    <row r="9" spans="1:11">
      <c r="A9" s="34">
        <v>0.4375</v>
      </c>
      <c r="B9" s="35">
        <v>20.51</v>
      </c>
      <c r="C9" s="36">
        <v>0.3</v>
      </c>
      <c r="D9" s="36">
        <v>9</v>
      </c>
      <c r="E9" s="36">
        <v>1</v>
      </c>
      <c r="F9" s="36">
        <v>0</v>
      </c>
    </row>
    <row r="10" spans="1:11">
      <c r="A10" s="34">
        <v>0.44097222222222227</v>
      </c>
      <c r="B10" s="35">
        <v>20.5</v>
      </c>
      <c r="C10" s="36">
        <v>0.3</v>
      </c>
      <c r="D10" s="36">
        <v>10</v>
      </c>
      <c r="E10" s="36">
        <v>1</v>
      </c>
      <c r="F10" s="36">
        <v>0</v>
      </c>
    </row>
    <row r="11" spans="1:11">
      <c r="A11" s="34"/>
      <c r="B11" s="36"/>
      <c r="C11" s="36"/>
      <c r="D11" s="36"/>
      <c r="E11" s="36"/>
      <c r="F11" s="36"/>
    </row>
    <row r="12" spans="1:11">
      <c r="A12" s="34"/>
      <c r="B12" s="36"/>
      <c r="C12" s="36"/>
      <c r="D12" s="36"/>
      <c r="E12" s="36"/>
      <c r="F12" s="36"/>
    </row>
    <row r="13" spans="1:11">
      <c r="A13" s="34"/>
      <c r="B13" s="36"/>
      <c r="C13" s="36"/>
      <c r="D13" s="36"/>
      <c r="E13" s="36"/>
      <c r="F13" s="36"/>
    </row>
    <row r="14" spans="1:11">
      <c r="A14" s="34"/>
      <c r="B14" s="36"/>
      <c r="C14" s="36"/>
      <c r="D14" s="36"/>
      <c r="E14" s="36"/>
      <c r="F14" s="36"/>
    </row>
    <row r="15" spans="1:11">
      <c r="A15" s="34"/>
      <c r="B15" s="36"/>
      <c r="C15" s="36"/>
      <c r="D15" s="36"/>
      <c r="E15" s="36"/>
      <c r="F15" s="36"/>
    </row>
    <row r="16" spans="1:11">
      <c r="A16" s="34"/>
      <c r="B16" s="36"/>
      <c r="C16" s="36"/>
      <c r="D16" s="36"/>
      <c r="E16" s="36"/>
      <c r="F16" s="36"/>
    </row>
    <row r="17" spans="1:6">
      <c r="A17" s="34"/>
      <c r="B17" s="36"/>
      <c r="C17" s="36"/>
      <c r="D17" s="36"/>
      <c r="E17" s="36"/>
      <c r="F17" s="36"/>
    </row>
    <row r="18" spans="1:6">
      <c r="A18" s="34"/>
      <c r="B18" s="36"/>
      <c r="C18" s="36"/>
      <c r="D18" s="36"/>
      <c r="E18" s="36"/>
      <c r="F18" s="36"/>
    </row>
    <row r="19" spans="1:6">
      <c r="A19" s="34"/>
      <c r="B19" s="36"/>
      <c r="C19" s="36"/>
      <c r="D19" s="36"/>
      <c r="E19" s="36"/>
      <c r="F19" s="36"/>
    </row>
    <row r="20" spans="1:6">
      <c r="A20" s="34"/>
      <c r="B20" s="36"/>
      <c r="C20" s="36"/>
      <c r="D20" s="36"/>
      <c r="E20" s="36"/>
      <c r="F20" s="36"/>
    </row>
    <row r="21" spans="1:6">
      <c r="A21" s="34"/>
      <c r="B21" s="36"/>
      <c r="C21" s="36"/>
      <c r="D21" s="36"/>
      <c r="E21" s="36"/>
      <c r="F21" s="36"/>
    </row>
    <row r="22" spans="1:6">
      <c r="A22" s="34"/>
      <c r="B22" s="36"/>
      <c r="C22" s="36"/>
      <c r="D22" s="36"/>
      <c r="E22" s="36"/>
      <c r="F22" s="36"/>
    </row>
    <row r="23" spans="1:6">
      <c r="A23" s="34"/>
      <c r="B23" s="36"/>
      <c r="C23" s="36"/>
      <c r="D23" s="36"/>
      <c r="E23" s="36"/>
      <c r="F23" s="36"/>
    </row>
    <row r="24" spans="1:6">
      <c r="A24" s="34"/>
      <c r="B24" s="36"/>
      <c r="C24" s="36"/>
      <c r="D24" s="36"/>
      <c r="E24" s="36"/>
      <c r="F24" s="36"/>
    </row>
    <row r="25" spans="1:6">
      <c r="A25" s="34"/>
      <c r="B25" s="36"/>
      <c r="C25" s="36"/>
      <c r="D25" s="36"/>
      <c r="E25" s="36"/>
      <c r="F25" s="36"/>
    </row>
    <row r="26" spans="1:6">
      <c r="A26" s="34"/>
      <c r="B26" s="36"/>
      <c r="C26" s="36"/>
      <c r="D26" s="36"/>
      <c r="E26" s="36"/>
      <c r="F26" s="36"/>
    </row>
    <row r="27" spans="1:6">
      <c r="A27" s="34"/>
      <c r="B27" s="36"/>
      <c r="C27" s="36"/>
      <c r="D27" s="36"/>
      <c r="E27" s="36"/>
      <c r="F27" s="36"/>
    </row>
    <row r="28" spans="1:6">
      <c r="A28" s="34"/>
      <c r="B28" s="36"/>
      <c r="C28" s="36"/>
      <c r="D28" s="36"/>
      <c r="E28" s="36"/>
      <c r="F28" s="36"/>
    </row>
    <row r="29" spans="1:6">
      <c r="A29" s="34"/>
      <c r="B29" s="36"/>
      <c r="C29" s="36"/>
      <c r="D29" s="36"/>
      <c r="E29" s="36"/>
      <c r="F29" s="36"/>
    </row>
    <row r="30" spans="1:6">
      <c r="A30" s="34"/>
      <c r="B30" s="36"/>
      <c r="C30" s="36"/>
      <c r="D30" s="36"/>
      <c r="E30" s="36"/>
      <c r="F30" s="36"/>
    </row>
    <row r="31" spans="1:6">
      <c r="A31" s="34"/>
      <c r="B31" s="36"/>
      <c r="C31" s="36"/>
      <c r="D31" s="36"/>
      <c r="E31" s="36"/>
      <c r="F31" s="36"/>
    </row>
    <row r="32" spans="1:6">
      <c r="A32" s="34"/>
      <c r="B32" s="36"/>
      <c r="C32" s="37"/>
      <c r="D32" s="36"/>
      <c r="E32" s="36"/>
      <c r="F32" s="36"/>
    </row>
    <row r="33" spans="1:6">
      <c r="A33" s="34"/>
      <c r="B33" s="36"/>
      <c r="C33" s="36"/>
      <c r="D33" s="36"/>
      <c r="E33" s="36"/>
      <c r="F33" s="36"/>
    </row>
    <row r="34" spans="1:6">
      <c r="A34" s="34"/>
      <c r="B34" s="36"/>
      <c r="C34" s="36"/>
      <c r="D34" s="36"/>
      <c r="E34" s="36"/>
      <c r="F34" s="36"/>
    </row>
    <row r="35" spans="1:6">
      <c r="A35" s="34"/>
      <c r="B35" s="36"/>
      <c r="C35" s="36"/>
      <c r="D35" s="36"/>
      <c r="E35" s="36"/>
      <c r="F35" s="36"/>
    </row>
    <row r="36" spans="1:6">
      <c r="A36" s="34"/>
      <c r="B36" s="36"/>
      <c r="C36" s="36"/>
      <c r="D36" s="36"/>
      <c r="E36" s="36"/>
      <c r="F36" s="36"/>
    </row>
    <row r="37" spans="1:6">
      <c r="A37" s="34"/>
      <c r="B37" s="36"/>
      <c r="C37" s="36"/>
      <c r="D37" s="36"/>
      <c r="E37" s="36"/>
      <c r="F37" s="36"/>
    </row>
    <row r="38" spans="1:6">
      <c r="A38" s="34"/>
      <c r="B38" s="36"/>
      <c r="C38" s="36"/>
      <c r="D38" s="36"/>
      <c r="E38" s="36"/>
      <c r="F38" s="36"/>
    </row>
    <row r="39" spans="1:6">
      <c r="A39" s="34"/>
      <c r="B39" s="36"/>
      <c r="C39" s="36"/>
      <c r="D39" s="36"/>
      <c r="E39" s="36"/>
      <c r="F39" s="36"/>
    </row>
    <row r="40" spans="1:6">
      <c r="A40" s="34"/>
      <c r="B40" s="36"/>
      <c r="C40" s="36"/>
      <c r="D40" s="36"/>
      <c r="E40" s="36"/>
      <c r="F40" s="36"/>
    </row>
    <row r="41" spans="1:6">
      <c r="A41" s="34"/>
      <c r="B41" s="36"/>
      <c r="C41" s="36"/>
      <c r="D41" s="36"/>
      <c r="E41" s="36"/>
      <c r="F41" s="36"/>
    </row>
    <row r="42" spans="1:6">
      <c r="A42" s="398" t="s">
        <v>220</v>
      </c>
      <c r="B42" s="399"/>
      <c r="C42" s="399"/>
      <c r="D42" s="399"/>
      <c r="E42" s="399"/>
      <c r="F42" s="400"/>
    </row>
  </sheetData>
  <sheetProtection formatCells="0" insertColumns="0" insertRows="0" deleteColumns="0" deleteRows="0"/>
  <mergeCells count="4">
    <mergeCell ref="A1:F2"/>
    <mergeCell ref="A3:B3"/>
    <mergeCell ref="E3:F3"/>
    <mergeCell ref="A42:F42"/>
  </mergeCells>
  <phoneticPr fontId="3" type="noConversion"/>
  <printOptions horizontalCentered="1"/>
  <pageMargins left="0.35433070866141736" right="0.35433070866141736" top="1.1811023622047245" bottom="0.78740157480314965" header="0.9055118110236221" footer="0.39370078740157483"/>
  <pageSetup paperSize="9" orientation="portrait" blackAndWhite="1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D59"/>
  <sheetViews>
    <sheetView view="pageBreakPreview" zoomScaleNormal="100" zoomScaleSheetLayoutView="100" workbookViewId="0">
      <selection activeCell="J9" sqref="J9:J10"/>
    </sheetView>
  </sheetViews>
  <sheetFormatPr defaultColWidth="8.88671875" defaultRowHeight="16.5"/>
  <cols>
    <col min="1" max="1" width="1.109375" style="38" customWidth="1"/>
    <col min="2" max="2" width="9.6640625" style="38" customWidth="1"/>
    <col min="3" max="3" width="11.109375" style="38" customWidth="1"/>
    <col min="4" max="4" width="10.44140625" style="38" bestFit="1" customWidth="1"/>
    <col min="5" max="5" width="8.88671875" style="38"/>
    <col min="6" max="6" width="9.33203125" style="38" bestFit="1" customWidth="1"/>
    <col min="7" max="16384" width="8.88671875" style="38"/>
  </cols>
  <sheetData>
    <row r="1" spans="1:11">
      <c r="A1" s="113"/>
      <c r="B1" s="114"/>
      <c r="C1" s="114"/>
      <c r="D1" s="114"/>
      <c r="E1" s="114"/>
      <c r="F1" s="114"/>
      <c r="G1" s="114"/>
      <c r="H1" s="114"/>
      <c r="I1" s="114"/>
      <c r="J1" s="114"/>
      <c r="K1" s="115"/>
    </row>
    <row r="2" spans="1:11" ht="13.5" customHeight="1">
      <c r="A2" s="448" t="s">
        <v>29</v>
      </c>
      <c r="B2" s="449"/>
      <c r="C2" s="449"/>
      <c r="D2" s="449"/>
      <c r="E2" s="449"/>
      <c r="F2" s="449"/>
      <c r="G2" s="449"/>
      <c r="H2" s="449"/>
      <c r="I2" s="449"/>
      <c r="J2" s="449"/>
      <c r="K2" s="450"/>
    </row>
    <row r="3" spans="1:11" ht="13.5" customHeight="1">
      <c r="A3" s="448"/>
      <c r="B3" s="449"/>
      <c r="C3" s="449"/>
      <c r="D3" s="449"/>
      <c r="E3" s="449"/>
      <c r="F3" s="449"/>
      <c r="G3" s="449"/>
      <c r="H3" s="449"/>
      <c r="I3" s="449"/>
      <c r="J3" s="449"/>
      <c r="K3" s="450"/>
    </row>
    <row r="4" spans="1:11" ht="13.5" customHeight="1">
      <c r="A4" s="116"/>
      <c r="K4" s="117"/>
    </row>
    <row r="5" spans="1:11" ht="22.5" customHeight="1" thickBot="1">
      <c r="A5" s="116"/>
      <c r="B5" s="43" t="s">
        <v>0</v>
      </c>
      <c r="K5" s="117"/>
    </row>
    <row r="6" spans="1:11" ht="22.5" customHeight="1" thickBot="1">
      <c r="A6" s="116"/>
      <c r="B6" s="118" t="s">
        <v>179</v>
      </c>
      <c r="C6" s="119">
        <v>1</v>
      </c>
      <c r="K6" s="117"/>
    </row>
    <row r="7" spans="1:11" ht="15" customHeight="1">
      <c r="A7" s="116"/>
      <c r="B7" s="120" t="s">
        <v>10</v>
      </c>
      <c r="C7" s="121" t="s">
        <v>116</v>
      </c>
      <c r="D7" s="433" t="s">
        <v>11</v>
      </c>
      <c r="E7" s="418" t="s">
        <v>261</v>
      </c>
      <c r="F7" s="444" t="s">
        <v>262</v>
      </c>
      <c r="G7" s="439" t="s">
        <v>30</v>
      </c>
      <c r="H7" s="428">
        <f>(0.32*$B$15+0.44*$C$15+0.28*(100-$B$15-$C$15))</f>
        <v>28.862800000000004</v>
      </c>
      <c r="I7" s="441" t="s">
        <v>34</v>
      </c>
      <c r="J7" s="422"/>
      <c r="K7" s="117"/>
    </row>
    <row r="8" spans="1:11" ht="15" customHeight="1" thickBot="1">
      <c r="A8" s="116"/>
      <c r="B8" s="122" t="s">
        <v>12</v>
      </c>
      <c r="C8" s="123" t="s">
        <v>4</v>
      </c>
      <c r="D8" s="434"/>
      <c r="E8" s="419"/>
      <c r="F8" s="445"/>
      <c r="G8" s="440"/>
      <c r="H8" s="429"/>
      <c r="I8" s="124" t="s">
        <v>263</v>
      </c>
      <c r="J8" s="125" t="s">
        <v>33</v>
      </c>
      <c r="K8" s="117"/>
    </row>
    <row r="9" spans="1:11" ht="15" customHeight="1">
      <c r="A9" s="116"/>
      <c r="B9" s="432">
        <v>11.3</v>
      </c>
      <c r="C9" s="437">
        <v>774</v>
      </c>
      <c r="D9" s="435">
        <v>0.84</v>
      </c>
      <c r="E9" s="446">
        <f>IFERROR(INDEX(노즐산정!P36:P40,MATCH(노즐산정!$C$6,노즐산정!M36:M40,0)),"")</f>
        <v>47.607900000000001</v>
      </c>
      <c r="F9" s="446">
        <f>IFERROR(INDEX(노즐산정!Q36:Q40,MATCH(노즐산정!$C$6,노즐산정!M36:M40,0)),"")</f>
        <v>0.99099999999999999</v>
      </c>
      <c r="G9" s="439" t="s">
        <v>31</v>
      </c>
      <c r="H9" s="428">
        <f>$H$7*(1-$D$15/100)+18*$D$15/100</f>
        <v>28.543216424000004</v>
      </c>
      <c r="I9" s="430">
        <f>H26</f>
        <v>1.2742897297321429</v>
      </c>
      <c r="J9" s="442">
        <f>$I$9*273/(273+$E$15)*($C$9+$I$15/13.6)/760</f>
        <v>1.1648611195497749</v>
      </c>
      <c r="K9" s="117"/>
    </row>
    <row r="10" spans="1:11" ht="15" customHeight="1" thickBot="1">
      <c r="A10" s="116"/>
      <c r="B10" s="382"/>
      <c r="C10" s="438"/>
      <c r="D10" s="436"/>
      <c r="E10" s="447"/>
      <c r="F10" s="447"/>
      <c r="G10" s="440"/>
      <c r="H10" s="429"/>
      <c r="I10" s="431"/>
      <c r="J10" s="443"/>
      <c r="K10" s="117"/>
    </row>
    <row r="11" spans="1:11" ht="13.5" customHeight="1">
      <c r="A11" s="116"/>
      <c r="E11" s="126"/>
      <c r="K11" s="117"/>
    </row>
    <row r="12" spans="1:11" ht="22.5" customHeight="1" thickBot="1">
      <c r="A12" s="116"/>
      <c r="B12" s="43" t="s">
        <v>13</v>
      </c>
      <c r="K12" s="117"/>
    </row>
    <row r="13" spans="1:11" ht="15" customHeight="1">
      <c r="A13" s="116"/>
      <c r="B13" s="120" t="s">
        <v>264</v>
      </c>
      <c r="C13" s="127" t="s">
        <v>265</v>
      </c>
      <c r="D13" s="127" t="s">
        <v>1</v>
      </c>
      <c r="E13" s="127" t="s">
        <v>6</v>
      </c>
      <c r="F13" s="433" t="s">
        <v>20</v>
      </c>
      <c r="G13" s="433"/>
      <c r="H13" s="128" t="s">
        <v>180</v>
      </c>
      <c r="I13" s="127" t="s">
        <v>2</v>
      </c>
      <c r="J13" s="129" t="s">
        <v>3</v>
      </c>
      <c r="K13" s="463" t="s">
        <v>187</v>
      </c>
    </row>
    <row r="14" spans="1:11" ht="15" customHeight="1" thickBot="1">
      <c r="A14" s="116"/>
      <c r="B14" s="122" t="s">
        <v>5</v>
      </c>
      <c r="C14" s="123" t="s">
        <v>5</v>
      </c>
      <c r="D14" s="123" t="s">
        <v>5</v>
      </c>
      <c r="E14" s="123" t="s">
        <v>12</v>
      </c>
      <c r="F14" s="130" t="s">
        <v>8</v>
      </c>
      <c r="G14" s="130" t="s">
        <v>9</v>
      </c>
      <c r="H14" s="131" t="s">
        <v>266</v>
      </c>
      <c r="I14" s="123" t="s">
        <v>266</v>
      </c>
      <c r="J14" s="132" t="s">
        <v>266</v>
      </c>
      <c r="K14" s="464"/>
    </row>
    <row r="15" spans="1:11" ht="14.25" customHeight="1">
      <c r="A15" s="116"/>
      <c r="B15" s="405">
        <f>연소가스자료!B5</f>
        <v>20.503333333333334</v>
      </c>
      <c r="C15" s="407">
        <f>연소가스자료!C5</f>
        <v>0.26666666666666666</v>
      </c>
      <c r="D15" s="409">
        <f>IF(수분량!D6=1,수분량!C16,수분량!I29)</f>
        <v>2.9419999999999997</v>
      </c>
      <c r="E15" s="411">
        <v>31</v>
      </c>
      <c r="F15" s="411">
        <v>10</v>
      </c>
      <c r="G15" s="411">
        <v>10</v>
      </c>
      <c r="H15" s="426">
        <f>AVERAGE(H17:H21)</f>
        <v>1.4</v>
      </c>
      <c r="I15" s="423">
        <f>AVERAGE(I17:I21)</f>
        <v>-5.0999999999999996</v>
      </c>
      <c r="J15" s="423">
        <f>AVERAGE(J17:J21)</f>
        <v>6.5</v>
      </c>
      <c r="K15" s="425">
        <f>$I$9*(273/(273+E15))*((C9+I15/13.6)/760)</f>
        <v>1.1648611195497747</v>
      </c>
    </row>
    <row r="16" spans="1:11" ht="15" customHeight="1" thickBot="1">
      <c r="A16" s="116"/>
      <c r="B16" s="406"/>
      <c r="C16" s="408"/>
      <c r="D16" s="410"/>
      <c r="E16" s="412"/>
      <c r="F16" s="412"/>
      <c r="G16" s="412"/>
      <c r="H16" s="427"/>
      <c r="I16" s="424"/>
      <c r="J16" s="424"/>
      <c r="K16" s="425"/>
    </row>
    <row r="17" spans="1:20" ht="15" customHeight="1">
      <c r="A17" s="116"/>
      <c r="B17" s="133"/>
      <c r="C17" s="133"/>
      <c r="D17" s="51"/>
      <c r="H17" s="287">
        <v>0.8</v>
      </c>
      <c r="I17" s="288">
        <v>-5</v>
      </c>
      <c r="J17" s="292">
        <v>5.8</v>
      </c>
      <c r="K17" s="295" t="s">
        <v>224</v>
      </c>
    </row>
    <row r="18" spans="1:20" ht="15" customHeight="1">
      <c r="A18" s="116"/>
      <c r="B18" s="133"/>
      <c r="C18" s="133"/>
      <c r="D18" s="51"/>
      <c r="H18" s="289">
        <v>2</v>
      </c>
      <c r="I18" s="286">
        <v>-5.2</v>
      </c>
      <c r="J18" s="293">
        <v>7.2</v>
      </c>
      <c r="K18" s="296" t="s">
        <v>228</v>
      </c>
    </row>
    <row r="19" spans="1:20" ht="15" customHeight="1">
      <c r="A19" s="116"/>
      <c r="B19" s="133"/>
      <c r="C19" s="133"/>
      <c r="D19" s="51"/>
      <c r="H19" s="289"/>
      <c r="I19" s="286"/>
      <c r="J19" s="293"/>
      <c r="K19" s="296" t="s">
        <v>229</v>
      </c>
    </row>
    <row r="20" spans="1:20" ht="15" customHeight="1">
      <c r="A20" s="116"/>
      <c r="B20" s="133"/>
      <c r="C20" s="133"/>
      <c r="D20" s="51"/>
      <c r="H20" s="289"/>
      <c r="I20" s="286"/>
      <c r="J20" s="293"/>
      <c r="K20" s="296" t="s">
        <v>254</v>
      </c>
    </row>
    <row r="21" spans="1:20" ht="15" customHeight="1" thickBot="1">
      <c r="A21" s="178"/>
      <c r="B21" s="133"/>
      <c r="C21" s="133"/>
      <c r="D21" s="51"/>
      <c r="H21" s="290"/>
      <c r="I21" s="291"/>
      <c r="J21" s="294"/>
      <c r="K21" s="297" t="s">
        <v>255</v>
      </c>
    </row>
    <row r="22" spans="1:20" ht="22.5" customHeight="1">
      <c r="B22" s="43" t="s">
        <v>238</v>
      </c>
      <c r="C22" s="133"/>
      <c r="D22" s="51"/>
      <c r="H22" s="137"/>
      <c r="I22" s="137"/>
      <c r="J22" s="137"/>
    </row>
    <row r="23" spans="1:20" s="135" customFormat="1" ht="15" customHeight="1">
      <c r="B23" s="136"/>
      <c r="C23" s="136"/>
      <c r="D23" s="136"/>
      <c r="E23" s="136"/>
      <c r="F23" s="136"/>
      <c r="G23" s="136"/>
      <c r="H23" s="137"/>
      <c r="I23" s="137"/>
      <c r="J23" s="137"/>
      <c r="K23" s="134"/>
    </row>
    <row r="24" spans="1:20" s="135" customFormat="1" ht="15" customHeight="1">
      <c r="B24" s="459" t="s">
        <v>244</v>
      </c>
      <c r="C24" s="459"/>
      <c r="D24" s="459"/>
      <c r="E24" s="459"/>
      <c r="F24" s="138" t="s">
        <v>245</v>
      </c>
      <c r="G24" s="139"/>
      <c r="H24" s="139"/>
      <c r="I24" s="139"/>
      <c r="M24" s="455" t="s">
        <v>239</v>
      </c>
      <c r="N24" s="455"/>
      <c r="O24" s="455"/>
      <c r="P24" s="455"/>
      <c r="Q24" s="139"/>
      <c r="R24" s="139"/>
      <c r="S24" s="139"/>
      <c r="T24" s="139"/>
    </row>
    <row r="25" spans="1:20" s="135" customFormat="1" ht="15" customHeight="1">
      <c r="B25" s="140" t="s">
        <v>246</v>
      </c>
      <c r="C25" s="140" t="s">
        <v>247</v>
      </c>
      <c r="D25" s="140" t="s">
        <v>248</v>
      </c>
      <c r="E25" s="140" t="s">
        <v>249</v>
      </c>
      <c r="F25" s="140" t="s">
        <v>250</v>
      </c>
      <c r="G25" s="140" t="s">
        <v>251</v>
      </c>
      <c r="H25" s="140" t="s">
        <v>267</v>
      </c>
      <c r="I25" s="139"/>
      <c r="M25" s="456" t="s">
        <v>240</v>
      </c>
      <c r="N25" s="457"/>
      <c r="O25" s="457"/>
      <c r="P25" s="457"/>
      <c r="Q25" s="457"/>
      <c r="R25" s="457"/>
      <c r="S25" s="457"/>
      <c r="T25" s="458"/>
    </row>
    <row r="26" spans="1:20" s="135" customFormat="1" ht="15" customHeight="1">
      <c r="B26" s="141" t="s">
        <v>268</v>
      </c>
      <c r="C26" s="141" t="s">
        <v>162</v>
      </c>
      <c r="D26" s="141">
        <v>32</v>
      </c>
      <c r="E26" s="142">
        <f>AVERAGE(연소가스자료!B8:B10)</f>
        <v>20.503333333333334</v>
      </c>
      <c r="F26" s="460">
        <f>수분량!C16</f>
        <v>2.9419999999999997</v>
      </c>
      <c r="G26" s="461">
        <f>SUMPRODUCT(D26:D29,E26:E29)</f>
        <v>2886.37</v>
      </c>
      <c r="H26" s="462">
        <f>((G26*(100-F26)/100+18*F26)/(22.4*100))</f>
        <v>1.2742897297321429</v>
      </c>
      <c r="I26" s="139"/>
      <c r="M26" s="143"/>
      <c r="N26" s="144"/>
      <c r="R26" s="145"/>
      <c r="S26" s="145"/>
      <c r="T26" s="146"/>
    </row>
    <row r="27" spans="1:20" s="135" customFormat="1" ht="15" customHeight="1">
      <c r="A27" s="147"/>
      <c r="B27" s="141" t="s">
        <v>269</v>
      </c>
      <c r="C27" s="141" t="s">
        <v>162</v>
      </c>
      <c r="D27" s="141">
        <v>44</v>
      </c>
      <c r="E27" s="142">
        <f>AVERAGE(연소가스자료!C8:C10)</f>
        <v>0.26666666666666666</v>
      </c>
      <c r="F27" s="460"/>
      <c r="G27" s="461"/>
      <c r="H27" s="462"/>
      <c r="I27" s="136"/>
      <c r="M27" s="143"/>
      <c r="N27" s="144"/>
      <c r="O27" s="145"/>
      <c r="P27" s="148" t="s">
        <v>270</v>
      </c>
      <c r="Q27" s="145"/>
      <c r="R27" s="145"/>
      <c r="S27" s="145"/>
      <c r="T27" s="146"/>
    </row>
    <row r="28" spans="1:20" s="135" customFormat="1" ht="15" customHeight="1">
      <c r="A28" s="147"/>
      <c r="B28" s="141" t="s">
        <v>253</v>
      </c>
      <c r="C28" s="141" t="s">
        <v>162</v>
      </c>
      <c r="D28" s="141">
        <v>38</v>
      </c>
      <c r="E28" s="142">
        <f>AVERAGE(연소가스자료!D8:D10)/1000</f>
        <v>8.9999999999999993E-3</v>
      </c>
      <c r="F28" s="460"/>
      <c r="G28" s="461"/>
      <c r="H28" s="462"/>
      <c r="I28" s="136"/>
      <c r="M28" s="143"/>
      <c r="N28" s="144"/>
      <c r="O28" s="145"/>
      <c r="P28" s="145" t="s">
        <v>241</v>
      </c>
      <c r="Q28" s="145"/>
      <c r="R28" s="145"/>
      <c r="S28" s="145"/>
      <c r="T28" s="146"/>
    </row>
    <row r="29" spans="1:20" ht="15" customHeight="1">
      <c r="B29" s="141" t="s">
        <v>271</v>
      </c>
      <c r="C29" s="141" t="s">
        <v>162</v>
      </c>
      <c r="D29" s="141">
        <v>28</v>
      </c>
      <c r="E29" s="142">
        <f>100-E26-E27-E28</f>
        <v>79.221000000000004</v>
      </c>
      <c r="F29" s="460"/>
      <c r="G29" s="461"/>
      <c r="H29" s="462"/>
      <c r="I29" s="136"/>
      <c r="J29" s="149"/>
      <c r="K29" s="51"/>
      <c r="M29" s="143"/>
      <c r="N29" s="144"/>
      <c r="O29" s="145"/>
      <c r="P29" s="145" t="s">
        <v>242</v>
      </c>
      <c r="Q29" s="145"/>
      <c r="R29" s="145"/>
      <c r="S29" s="145"/>
      <c r="T29" s="146"/>
    </row>
    <row r="30" spans="1:20" ht="15" customHeight="1">
      <c r="B30" s="133"/>
      <c r="C30" s="133"/>
      <c r="D30" s="51"/>
      <c r="E30" s="51"/>
      <c r="F30" s="51"/>
      <c r="G30" s="51"/>
      <c r="H30" s="149"/>
      <c r="I30" s="149"/>
      <c r="J30" s="149"/>
      <c r="K30" s="51"/>
      <c r="M30" s="150"/>
      <c r="N30" s="151"/>
      <c r="O30" s="152"/>
      <c r="P30" s="152" t="s">
        <v>243</v>
      </c>
      <c r="Q30" s="152"/>
      <c r="R30" s="152"/>
      <c r="S30" s="152"/>
      <c r="T30" s="153"/>
    </row>
    <row r="31" spans="1:20" ht="22.5" customHeight="1">
      <c r="B31" s="43" t="s">
        <v>252</v>
      </c>
      <c r="C31" s="133"/>
      <c r="D31" s="51"/>
      <c r="E31" s="51"/>
      <c r="F31" s="51"/>
      <c r="G31" s="51"/>
      <c r="H31" s="149"/>
      <c r="I31" s="149"/>
      <c r="J31" s="149"/>
      <c r="K31" s="51"/>
    </row>
    <row r="32" spans="1:20" ht="13.5" customHeight="1" thickBot="1">
      <c r="B32" s="43"/>
      <c r="C32" s="133"/>
      <c r="D32" s="51"/>
      <c r="E32" s="51"/>
      <c r="F32" s="51"/>
      <c r="G32" s="51"/>
      <c r="H32" s="149"/>
      <c r="I32" s="149"/>
      <c r="J32" s="149"/>
      <c r="K32" s="51"/>
    </row>
    <row r="33" spans="1:134" ht="18">
      <c r="B33" s="451" t="s">
        <v>272</v>
      </c>
      <c r="C33" s="452"/>
      <c r="D33" s="154" t="s">
        <v>273</v>
      </c>
      <c r="E33" s="51"/>
      <c r="F33" s="51" t="s">
        <v>201</v>
      </c>
      <c r="G33" s="51"/>
      <c r="H33" s="137"/>
      <c r="I33" s="137"/>
      <c r="J33" s="137"/>
      <c r="K33" s="51"/>
    </row>
    <row r="34" spans="1:134" ht="17.25" thickBot="1">
      <c r="B34" s="453">
        <f>(D34*(100-수분량!I30)/100)+18/(22.4*100)*수분량!I30</f>
        <v>1.1000000000000001</v>
      </c>
      <c r="C34" s="454"/>
      <c r="D34" s="155">
        <v>1.1000000000000001</v>
      </c>
      <c r="E34" s="51"/>
      <c r="F34" s="51"/>
      <c r="G34" s="51"/>
      <c r="H34" s="137"/>
      <c r="I34" s="137"/>
      <c r="J34" s="137"/>
      <c r="K34" s="51"/>
      <c r="M34" s="404" t="s">
        <v>141</v>
      </c>
      <c r="N34" s="404" t="s">
        <v>142</v>
      </c>
      <c r="O34" s="404" t="s">
        <v>11</v>
      </c>
      <c r="P34" s="404" t="s">
        <v>261</v>
      </c>
      <c r="Q34" s="404" t="s">
        <v>262</v>
      </c>
    </row>
    <row r="35" spans="1:134" ht="13.5" customHeight="1">
      <c r="A35" s="116"/>
      <c r="H35" s="137"/>
      <c r="I35" s="137"/>
      <c r="J35" s="137"/>
      <c r="K35" s="134"/>
      <c r="M35" s="404"/>
      <c r="N35" s="404"/>
      <c r="O35" s="404"/>
      <c r="P35" s="404"/>
      <c r="Q35" s="404"/>
    </row>
    <row r="36" spans="1:134" ht="21" thickBot="1">
      <c r="A36" s="116"/>
      <c r="B36" s="43" t="s">
        <v>21</v>
      </c>
      <c r="K36" s="117"/>
      <c r="M36" s="48">
        <v>1</v>
      </c>
      <c r="N36" s="48" t="s">
        <v>143</v>
      </c>
      <c r="O36" s="48">
        <v>0.84</v>
      </c>
      <c r="P36" s="175">
        <v>47.607900000000001</v>
      </c>
      <c r="Q36" s="176">
        <v>0.99099999999999999</v>
      </c>
    </row>
    <row r="37" spans="1:134" ht="14.1" customHeight="1">
      <c r="A37" s="116"/>
      <c r="B37" s="120" t="s">
        <v>285</v>
      </c>
      <c r="C37" s="418" t="s">
        <v>184</v>
      </c>
      <c r="D37" s="127" t="s">
        <v>15</v>
      </c>
      <c r="E37" s="418" t="s">
        <v>17</v>
      </c>
      <c r="F37" s="127" t="s">
        <v>18</v>
      </c>
      <c r="G37" s="127" t="s">
        <v>35</v>
      </c>
      <c r="H37" s="420" t="s">
        <v>181</v>
      </c>
      <c r="I37" s="421"/>
      <c r="J37" s="422"/>
      <c r="K37" s="416" t="s">
        <v>185</v>
      </c>
      <c r="M37" s="48">
        <v>2</v>
      </c>
      <c r="N37" s="48" t="s">
        <v>144</v>
      </c>
      <c r="O37" s="48">
        <v>0.84</v>
      </c>
      <c r="P37" s="175">
        <v>47.4726</v>
      </c>
      <c r="Q37" s="176">
        <v>0.99399999999999999</v>
      </c>
    </row>
    <row r="38" spans="1:134" ht="15" customHeight="1" thickBot="1">
      <c r="A38" s="116"/>
      <c r="B38" s="122" t="s">
        <v>14</v>
      </c>
      <c r="C38" s="419"/>
      <c r="D38" s="123" t="s">
        <v>16</v>
      </c>
      <c r="E38" s="419"/>
      <c r="F38" s="123" t="s">
        <v>266</v>
      </c>
      <c r="G38" s="123" t="s">
        <v>37</v>
      </c>
      <c r="H38" s="130" t="s">
        <v>36</v>
      </c>
      <c r="I38" s="130" t="s">
        <v>274</v>
      </c>
      <c r="J38" s="125" t="s">
        <v>275</v>
      </c>
      <c r="K38" s="417"/>
      <c r="M38" s="48">
        <v>3</v>
      </c>
      <c r="N38" s="48" t="s">
        <v>145</v>
      </c>
      <c r="O38" s="48">
        <v>0.84</v>
      </c>
      <c r="P38" s="48">
        <v>47.557000000000002</v>
      </c>
      <c r="Q38" s="48">
        <v>1.0078</v>
      </c>
    </row>
    <row r="39" spans="1:134" ht="17.25" thickBot="1">
      <c r="A39" s="116"/>
      <c r="B39" s="413">
        <v>56</v>
      </c>
      <c r="C39" s="156">
        <v>4</v>
      </c>
      <c r="D39" s="157">
        <v>3.21</v>
      </c>
      <c r="E39" s="158">
        <f t="shared" ref="E39:E56" si="0">8.001*10^-5*D39^4*$E$9*$D$9^2*(1-$D$15/100)^2*($H$7/$H$9)*((AVERAGE($F$15:$G$16)+273)/($E$15+273))*(($C$9+$I$15/13.6)/$C$9)</f>
        <v>0.25293131935615976</v>
      </c>
      <c r="F39" s="159">
        <f t="shared" ref="F39:F56" si="1">E39*$J$15</f>
        <v>1.6440535758150383</v>
      </c>
      <c r="G39" s="401">
        <f>D9*(2*9.81*J15/K15)^0.5</f>
        <v>8.7891806525429264</v>
      </c>
      <c r="H39" s="160">
        <f t="shared" ref="H39:H56" si="2">PI()/4*D39^2*$G$39*60*$B$39/1000*(1-$D$15/100)</f>
        <v>231.96312584637897</v>
      </c>
      <c r="I39" s="160">
        <f t="shared" ref="I39:I56" si="3">H39*(273/(273+$E$15)*($C$9+F39/13.6)/760)</f>
        <v>212.17939601317485</v>
      </c>
      <c r="J39" s="161">
        <f t="shared" ref="J39:J56" si="4">I39/1000</f>
        <v>0.21217939601317484</v>
      </c>
      <c r="K39" s="162">
        <v>9</v>
      </c>
      <c r="M39" s="48">
        <v>4</v>
      </c>
      <c r="N39" s="48" t="s">
        <v>146</v>
      </c>
      <c r="O39" s="48">
        <v>0.84</v>
      </c>
      <c r="P39" s="48">
        <v>47.651200000000003</v>
      </c>
      <c r="Q39" s="48">
        <v>0.99760000000000004</v>
      </c>
    </row>
    <row r="40" spans="1:134">
      <c r="A40" s="116"/>
      <c r="B40" s="414"/>
      <c r="C40" s="48">
        <v>5</v>
      </c>
      <c r="D40" s="163">
        <v>3.97</v>
      </c>
      <c r="E40" s="164">
        <f t="shared" si="0"/>
        <v>0.59175850274725139</v>
      </c>
      <c r="F40" s="165">
        <f t="shared" si="1"/>
        <v>3.846430267857134</v>
      </c>
      <c r="G40" s="402"/>
      <c r="H40" s="166">
        <f t="shared" si="2"/>
        <v>354.80513874595493</v>
      </c>
      <c r="I40" s="166">
        <f t="shared" si="3"/>
        <v>324.61232011697666</v>
      </c>
      <c r="J40" s="167">
        <f t="shared" si="4"/>
        <v>0.32461232011697666</v>
      </c>
      <c r="M40" s="48">
        <v>5</v>
      </c>
      <c r="N40" s="48" t="s">
        <v>223</v>
      </c>
      <c r="O40" s="48">
        <v>0.84</v>
      </c>
      <c r="P40" s="48">
        <v>49.1</v>
      </c>
      <c r="Q40" s="177">
        <v>1</v>
      </c>
    </row>
    <row r="41" spans="1:134">
      <c r="A41" s="116"/>
      <c r="B41" s="414"/>
      <c r="C41" s="48">
        <v>6</v>
      </c>
      <c r="D41" s="163">
        <v>4.79</v>
      </c>
      <c r="E41" s="164">
        <f t="shared" si="0"/>
        <v>1.254077954586081</v>
      </c>
      <c r="F41" s="165">
        <f>E41*$J$15</f>
        <v>8.1515067048095258</v>
      </c>
      <c r="G41" s="402"/>
      <c r="H41" s="166">
        <f t="shared" si="2"/>
        <v>516.51140378411526</v>
      </c>
      <c r="I41" s="166">
        <f t="shared" si="3"/>
        <v>472.75107838508285</v>
      </c>
      <c r="J41" s="167">
        <f>I41/1000</f>
        <v>0.47275107838508285</v>
      </c>
    </row>
    <row r="42" spans="1:134">
      <c r="A42" s="116"/>
      <c r="B42" s="414"/>
      <c r="C42" s="48">
        <v>7</v>
      </c>
      <c r="D42" s="163">
        <v>5.54</v>
      </c>
      <c r="E42" s="164">
        <f t="shared" si="0"/>
        <v>2.2439932112489562</v>
      </c>
      <c r="F42" s="165">
        <f t="shared" si="1"/>
        <v>14.585955873118216</v>
      </c>
      <c r="G42" s="402"/>
      <c r="H42" s="166">
        <f t="shared" si="2"/>
        <v>690.92103854065113</v>
      </c>
      <c r="I42" s="166">
        <f t="shared" si="3"/>
        <v>632.77048637416897</v>
      </c>
      <c r="J42" s="167">
        <f t="shared" si="4"/>
        <v>0.63277048637416899</v>
      </c>
    </row>
    <row r="43" spans="1:134">
      <c r="A43" s="116"/>
      <c r="B43" s="414"/>
      <c r="C43" s="48">
        <v>8</v>
      </c>
      <c r="D43" s="163">
        <v>6.28</v>
      </c>
      <c r="E43" s="164">
        <f t="shared" si="0"/>
        <v>3.7052801919618008</v>
      </c>
      <c r="F43" s="165">
        <f t="shared" si="1"/>
        <v>24.084321247751706</v>
      </c>
      <c r="G43" s="402"/>
      <c r="H43" s="166">
        <f t="shared" si="2"/>
        <v>887.82664593509685</v>
      </c>
      <c r="I43" s="166">
        <f t="shared" si="3"/>
        <v>813.8364449443792</v>
      </c>
      <c r="J43" s="167">
        <f t="shared" si="4"/>
        <v>0.81383644494437923</v>
      </c>
    </row>
    <row r="44" spans="1:134">
      <c r="A44" s="116"/>
      <c r="B44" s="414"/>
      <c r="C44" s="48">
        <v>9</v>
      </c>
      <c r="D44" s="168">
        <v>7.1</v>
      </c>
      <c r="E44" s="164">
        <f t="shared" si="0"/>
        <v>6.0536300206025526</v>
      </c>
      <c r="F44" s="165">
        <f t="shared" si="1"/>
        <v>39.348595133916589</v>
      </c>
      <c r="G44" s="402"/>
      <c r="H44" s="166">
        <f t="shared" si="2"/>
        <v>1134.8163521235201</v>
      </c>
      <c r="I44" s="166">
        <f t="shared" si="3"/>
        <v>1041.7473890261722</v>
      </c>
      <c r="J44" s="167">
        <f t="shared" si="4"/>
        <v>1.0417473890261721</v>
      </c>
      <c r="ED44" s="38" t="s">
        <v>66</v>
      </c>
    </row>
    <row r="45" spans="1:134">
      <c r="A45" s="116"/>
      <c r="B45" s="414"/>
      <c r="C45" s="48">
        <v>10</v>
      </c>
      <c r="D45" s="163">
        <v>7.86</v>
      </c>
      <c r="E45" s="164">
        <f t="shared" si="0"/>
        <v>9.0922771202289301</v>
      </c>
      <c r="F45" s="165">
        <f t="shared" si="1"/>
        <v>59.099801281488048</v>
      </c>
      <c r="G45" s="402"/>
      <c r="H45" s="166">
        <f t="shared" si="2"/>
        <v>1390.7657271900462</v>
      </c>
      <c r="I45" s="166">
        <f t="shared" si="3"/>
        <v>1279.0923776129355</v>
      </c>
      <c r="J45" s="167">
        <f t="shared" si="4"/>
        <v>1.2790923776129355</v>
      </c>
    </row>
    <row r="46" spans="1:134">
      <c r="A46" s="116"/>
      <c r="B46" s="414"/>
      <c r="C46" s="48">
        <v>11</v>
      </c>
      <c r="D46" s="163">
        <v>8.4</v>
      </c>
      <c r="E46" s="164">
        <f t="shared" si="0"/>
        <v>11.860407862408715</v>
      </c>
      <c r="F46" s="165">
        <f t="shared" si="1"/>
        <v>77.092651105656657</v>
      </c>
      <c r="G46" s="402"/>
      <c r="H46" s="166">
        <f t="shared" si="2"/>
        <v>1588.4277287410348</v>
      </c>
      <c r="I46" s="166">
        <f t="shared" si="3"/>
        <v>1463.3660065692143</v>
      </c>
      <c r="J46" s="167">
        <f t="shared" si="4"/>
        <v>1.4633660065692142</v>
      </c>
    </row>
    <row r="47" spans="1:134">
      <c r="A47" s="116"/>
      <c r="B47" s="414"/>
      <c r="C47" s="48">
        <v>12</v>
      </c>
      <c r="D47" s="163">
        <v>9.24</v>
      </c>
      <c r="E47" s="164">
        <f t="shared" si="0"/>
        <v>17.364823151352599</v>
      </c>
      <c r="F47" s="165">
        <f t="shared" si="1"/>
        <v>112.8713504837919</v>
      </c>
      <c r="G47" s="402"/>
      <c r="H47" s="166">
        <f t="shared" si="2"/>
        <v>1921.9975517766525</v>
      </c>
      <c r="I47" s="166">
        <f t="shared" si="3"/>
        <v>1776.647538212962</v>
      </c>
      <c r="J47" s="167">
        <f t="shared" si="4"/>
        <v>1.7766475382129621</v>
      </c>
    </row>
    <row r="48" spans="1:134">
      <c r="A48" s="116"/>
      <c r="B48" s="414"/>
      <c r="C48" s="48">
        <v>13</v>
      </c>
      <c r="D48" s="163">
        <v>10.18</v>
      </c>
      <c r="E48" s="164">
        <f t="shared" si="0"/>
        <v>25.584303114040242</v>
      </c>
      <c r="F48" s="165">
        <f>E48*$J$15</f>
        <v>166.29797024126157</v>
      </c>
      <c r="G48" s="402"/>
      <c r="H48" s="166">
        <f t="shared" si="2"/>
        <v>2332.944696088186</v>
      </c>
      <c r="I48" s="166">
        <f t="shared" si="3"/>
        <v>2167.3462876040699</v>
      </c>
      <c r="J48" s="167">
        <f>I48/1000</f>
        <v>2.1673462876040697</v>
      </c>
    </row>
    <row r="49" spans="1:11">
      <c r="A49" s="116"/>
      <c r="B49" s="414"/>
      <c r="C49" s="48">
        <v>14</v>
      </c>
      <c r="D49" s="163">
        <v>10.87</v>
      </c>
      <c r="E49" s="164">
        <f t="shared" si="0"/>
        <v>33.258346689708453</v>
      </c>
      <c r="F49" s="165">
        <f t="shared" si="1"/>
        <v>216.17925348310496</v>
      </c>
      <c r="G49" s="402"/>
      <c r="H49" s="166">
        <f t="shared" si="2"/>
        <v>2659.9163308118132</v>
      </c>
      <c r="I49" s="166">
        <f t="shared" si="3"/>
        <v>2482.6363220930389</v>
      </c>
      <c r="J49" s="167">
        <f t="shared" si="4"/>
        <v>2.4826363220930387</v>
      </c>
    </row>
    <row r="50" spans="1:11">
      <c r="A50" s="116"/>
      <c r="B50" s="414"/>
      <c r="C50" s="48">
        <v>15</v>
      </c>
      <c r="D50" s="163">
        <v>11.7</v>
      </c>
      <c r="E50" s="164">
        <f t="shared" si="0"/>
        <v>44.640178938493527</v>
      </c>
      <c r="F50" s="165">
        <f t="shared" si="1"/>
        <v>290.16116310020794</v>
      </c>
      <c r="G50" s="402"/>
      <c r="H50" s="166">
        <f t="shared" si="2"/>
        <v>3081.6308359886652</v>
      </c>
      <c r="I50" s="166">
        <f t="shared" si="3"/>
        <v>2896.0521919243029</v>
      </c>
      <c r="J50" s="167">
        <f t="shared" si="4"/>
        <v>2.8960521919243027</v>
      </c>
    </row>
    <row r="51" spans="1:11">
      <c r="A51" s="116"/>
      <c r="B51" s="414"/>
      <c r="C51" s="48">
        <v>16</v>
      </c>
      <c r="D51" s="163">
        <v>12.56</v>
      </c>
      <c r="E51" s="164">
        <f t="shared" si="0"/>
        <v>59.284483071388813</v>
      </c>
      <c r="F51" s="165">
        <f t="shared" si="1"/>
        <v>385.3491399640273</v>
      </c>
      <c r="G51" s="402"/>
      <c r="H51" s="166">
        <f t="shared" si="2"/>
        <v>3551.3065837403874</v>
      </c>
      <c r="I51" s="166">
        <f t="shared" si="3"/>
        <v>3366.8138287486595</v>
      </c>
      <c r="J51" s="167">
        <f t="shared" si="4"/>
        <v>3.3668138287486595</v>
      </c>
    </row>
    <row r="52" spans="1:11">
      <c r="A52" s="116"/>
      <c r="B52" s="414"/>
      <c r="C52" s="48">
        <v>17</v>
      </c>
      <c r="D52" s="163">
        <v>13.48</v>
      </c>
      <c r="E52" s="164">
        <f t="shared" si="0"/>
        <v>78.65784586734199</v>
      </c>
      <c r="F52" s="165">
        <f t="shared" si="1"/>
        <v>511.27599813772292</v>
      </c>
      <c r="G52" s="402"/>
      <c r="H52" s="166">
        <f t="shared" si="2"/>
        <v>4090.615617355797</v>
      </c>
      <c r="I52" s="166">
        <f t="shared" si="3"/>
        <v>3922.86060731833</v>
      </c>
      <c r="J52" s="167">
        <f t="shared" si="4"/>
        <v>3.9228606073183299</v>
      </c>
    </row>
    <row r="53" spans="1:11">
      <c r="A53" s="116"/>
      <c r="B53" s="414"/>
      <c r="C53" s="48">
        <v>18</v>
      </c>
      <c r="D53" s="163">
        <v>14.3</v>
      </c>
      <c r="E53" s="164">
        <f t="shared" si="0"/>
        <v>99.6154335983057</v>
      </c>
      <c r="F53" s="165">
        <f t="shared" si="1"/>
        <v>647.50031838898701</v>
      </c>
      <c r="G53" s="402"/>
      <c r="H53" s="166">
        <f t="shared" si="2"/>
        <v>4603.4238414151678</v>
      </c>
      <c r="I53" s="166">
        <f t="shared" si="3"/>
        <v>4469.1231088531504</v>
      </c>
      <c r="J53" s="167">
        <f t="shared" si="4"/>
        <v>4.4691231088531502</v>
      </c>
    </row>
    <row r="54" spans="1:11">
      <c r="A54" s="116"/>
      <c r="B54" s="414"/>
      <c r="C54" s="48">
        <v>20</v>
      </c>
      <c r="D54" s="163">
        <v>15.95</v>
      </c>
      <c r="E54" s="164">
        <f t="shared" si="0"/>
        <v>154.17900172184804</v>
      </c>
      <c r="F54" s="165">
        <f t="shared" si="1"/>
        <v>1002.1635111920123</v>
      </c>
      <c r="G54" s="402"/>
      <c r="H54" s="166">
        <f t="shared" si="2"/>
        <v>5727.0406074410594</v>
      </c>
      <c r="I54" s="166">
        <f t="shared" si="3"/>
        <v>5736.4342707139976</v>
      </c>
      <c r="J54" s="167">
        <f t="shared" si="4"/>
        <v>5.7364342707139979</v>
      </c>
    </row>
    <row r="55" spans="1:11">
      <c r="A55" s="116"/>
      <c r="B55" s="414"/>
      <c r="C55" s="48">
        <v>22</v>
      </c>
      <c r="D55" s="163">
        <v>17.510000000000002</v>
      </c>
      <c r="E55" s="164">
        <f t="shared" si="0"/>
        <v>223.93762304357867</v>
      </c>
      <c r="F55" s="165">
        <f t="shared" si="1"/>
        <v>1455.5945497832613</v>
      </c>
      <c r="G55" s="402"/>
      <c r="H55" s="166">
        <f t="shared" si="2"/>
        <v>6902.0989296311545</v>
      </c>
      <c r="I55" s="166">
        <f t="shared" si="3"/>
        <v>7185.3323430228429</v>
      </c>
      <c r="J55" s="167">
        <f t="shared" si="4"/>
        <v>7.1853323430228428</v>
      </c>
    </row>
    <row r="56" spans="1:11" ht="17.25" thickBot="1">
      <c r="A56" s="116"/>
      <c r="B56" s="415"/>
      <c r="C56" s="169">
        <v>26</v>
      </c>
      <c r="D56" s="170">
        <v>20.72</v>
      </c>
      <c r="E56" s="171">
        <f t="shared" si="0"/>
        <v>439.07780463841516</v>
      </c>
      <c r="F56" s="172">
        <f t="shared" si="1"/>
        <v>2854.0057301496986</v>
      </c>
      <c r="G56" s="403"/>
      <c r="H56" s="173">
        <f t="shared" si="2"/>
        <v>9664.7002695398951</v>
      </c>
      <c r="I56" s="173">
        <f t="shared" si="3"/>
        <v>11235.547373582353</v>
      </c>
      <c r="J56" s="174">
        <f t="shared" si="4"/>
        <v>11.235547373582353</v>
      </c>
    </row>
    <row r="57" spans="1:11">
      <c r="A57" s="116"/>
      <c r="K57" s="117"/>
    </row>
    <row r="58" spans="1:11" ht="17.25" thickBot="1">
      <c r="A58" s="116"/>
      <c r="K58" s="117"/>
    </row>
    <row r="59" spans="1:11" ht="17.25" thickBot="1">
      <c r="A59" s="178"/>
      <c r="B59" s="364" t="s">
        <v>220</v>
      </c>
      <c r="C59" s="365"/>
      <c r="D59" s="365"/>
      <c r="E59" s="365"/>
      <c r="F59" s="365"/>
      <c r="G59" s="365"/>
      <c r="H59" s="365"/>
      <c r="I59" s="365"/>
      <c r="J59" s="365"/>
      <c r="K59" s="366"/>
    </row>
  </sheetData>
  <mergeCells count="48">
    <mergeCell ref="A2:K3"/>
    <mergeCell ref="B33:C33"/>
    <mergeCell ref="B34:C34"/>
    <mergeCell ref="C37:C38"/>
    <mergeCell ref="M24:P24"/>
    <mergeCell ref="M25:T25"/>
    <mergeCell ref="B24:E24"/>
    <mergeCell ref="F26:F29"/>
    <mergeCell ref="G26:G29"/>
    <mergeCell ref="H26:H29"/>
    <mergeCell ref="M34:M35"/>
    <mergeCell ref="N34:N35"/>
    <mergeCell ref="O34:O35"/>
    <mergeCell ref="P34:P35"/>
    <mergeCell ref="F13:G13"/>
    <mergeCell ref="K13:K14"/>
    <mergeCell ref="B59:K59"/>
    <mergeCell ref="H7:H8"/>
    <mergeCell ref="H9:H10"/>
    <mergeCell ref="I9:I10"/>
    <mergeCell ref="B9:B10"/>
    <mergeCell ref="D7:D8"/>
    <mergeCell ref="E7:E8"/>
    <mergeCell ref="D9:D10"/>
    <mergeCell ref="C9:C10"/>
    <mergeCell ref="G7:G8"/>
    <mergeCell ref="I7:J7"/>
    <mergeCell ref="J9:J10"/>
    <mergeCell ref="F7:F8"/>
    <mergeCell ref="G9:G10"/>
    <mergeCell ref="F9:F10"/>
    <mergeCell ref="E9:E10"/>
    <mergeCell ref="G39:G56"/>
    <mergeCell ref="Q34:Q35"/>
    <mergeCell ref="B15:B16"/>
    <mergeCell ref="C15:C16"/>
    <mergeCell ref="D15:D16"/>
    <mergeCell ref="E15:E16"/>
    <mergeCell ref="B39:B56"/>
    <mergeCell ref="K37:K38"/>
    <mergeCell ref="E37:E38"/>
    <mergeCell ref="H37:J37"/>
    <mergeCell ref="F15:F16"/>
    <mergeCell ref="G15:G16"/>
    <mergeCell ref="J15:J16"/>
    <mergeCell ref="K15:K16"/>
    <mergeCell ref="I15:I16"/>
    <mergeCell ref="H15:H16"/>
  </mergeCells>
  <phoneticPr fontId="3" type="noConversion"/>
  <pageMargins left="0.75" right="0.75" top="1" bottom="1" header="0.5" footer="0.5"/>
  <pageSetup paperSize="9" scale="72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pageSetUpPr fitToPage="1"/>
  </sheetPr>
  <dimension ref="A1:Q35"/>
  <sheetViews>
    <sheetView view="pageBreakPreview" zoomScale="85" zoomScaleNormal="85" zoomScaleSheetLayoutView="85" workbookViewId="0">
      <selection activeCell="C13" sqref="C13:D13"/>
    </sheetView>
  </sheetViews>
  <sheetFormatPr defaultColWidth="8.88671875" defaultRowHeight="16.5"/>
  <cols>
    <col min="1" max="1" width="7.5546875" style="179" customWidth="1"/>
    <col min="2" max="2" width="8.21875" style="179" customWidth="1"/>
    <col min="3" max="3" width="8.109375" style="179" customWidth="1"/>
    <col min="4" max="4" width="8.33203125" style="179" customWidth="1"/>
    <col min="5" max="6" width="7.88671875" style="179" customWidth="1"/>
    <col min="7" max="7" width="16.33203125" style="179" bestFit="1" customWidth="1"/>
    <col min="8" max="8" width="7.5546875" style="179" customWidth="1"/>
    <col min="9" max="9" width="8.6640625" style="179" customWidth="1"/>
    <col min="10" max="11" width="10.77734375" style="179" customWidth="1"/>
    <col min="12" max="12" width="11.6640625" style="179" bestFit="1" customWidth="1"/>
    <col min="13" max="13" width="7.6640625" style="179" bestFit="1" customWidth="1"/>
    <col min="14" max="14" width="6.6640625" style="179" bestFit="1" customWidth="1"/>
    <col min="15" max="15" width="12.6640625" style="179" bestFit="1" customWidth="1"/>
    <col min="16" max="16384" width="8.88671875" style="179"/>
  </cols>
  <sheetData>
    <row r="1" spans="1:17" ht="20.25" customHeight="1">
      <c r="A1" s="465" t="s">
        <v>183</v>
      </c>
      <c r="B1" s="466"/>
      <c r="C1" s="466"/>
      <c r="D1" s="466"/>
      <c r="E1" s="466"/>
      <c r="F1" s="466"/>
      <c r="G1" s="466"/>
      <c r="H1" s="466"/>
      <c r="I1" s="466"/>
      <c r="J1" s="466"/>
      <c r="K1" s="467"/>
    </row>
    <row r="2" spans="1:17" ht="27" customHeight="1">
      <c r="A2" s="468"/>
      <c r="B2" s="469"/>
      <c r="C2" s="469"/>
      <c r="D2" s="469"/>
      <c r="E2" s="469"/>
      <c r="F2" s="469"/>
      <c r="G2" s="469"/>
      <c r="H2" s="469"/>
      <c r="I2" s="469"/>
      <c r="J2" s="469"/>
      <c r="K2" s="470"/>
    </row>
    <row r="3" spans="1:17" ht="13.5" customHeight="1">
      <c r="A3" s="468"/>
      <c r="B3" s="469"/>
      <c r="C3" s="469"/>
      <c r="D3" s="469"/>
      <c r="E3" s="469"/>
      <c r="F3" s="469"/>
      <c r="G3" s="469"/>
      <c r="H3" s="469"/>
      <c r="I3" s="469"/>
      <c r="J3" s="469"/>
      <c r="K3" s="470"/>
    </row>
    <row r="4" spans="1:17" ht="14.45" customHeight="1" thickBot="1">
      <c r="A4" s="468"/>
      <c r="B4" s="469"/>
      <c r="C4" s="469"/>
      <c r="D4" s="469"/>
      <c r="E4" s="469"/>
      <c r="F4" s="469"/>
      <c r="G4" s="469"/>
      <c r="H4" s="469"/>
      <c r="I4" s="469"/>
      <c r="J4" s="469"/>
      <c r="K4" s="470"/>
    </row>
    <row r="5" spans="1:17" ht="24" customHeight="1">
      <c r="A5" s="514" t="s">
        <v>85</v>
      </c>
      <c r="B5" s="515"/>
      <c r="C5" s="520" t="str">
        <f>표지!D19</f>
        <v>㈜효창티앤티</v>
      </c>
      <c r="D5" s="521"/>
      <c r="E5" s="506"/>
      <c r="F5" s="507"/>
      <c r="G5" s="507"/>
      <c r="H5" s="496" t="s">
        <v>92</v>
      </c>
      <c r="I5" s="497"/>
      <c r="J5" s="522">
        <f>노즐산정!D9</f>
        <v>0.84</v>
      </c>
      <c r="K5" s="523"/>
    </row>
    <row r="6" spans="1:17" ht="24" customHeight="1">
      <c r="A6" s="516" t="s">
        <v>86</v>
      </c>
      <c r="B6" s="513"/>
      <c r="C6" s="498" t="str">
        <f>표지!D20</f>
        <v>#A-2</v>
      </c>
      <c r="D6" s="499"/>
      <c r="E6" s="508"/>
      <c r="F6" s="509"/>
      <c r="G6" s="509"/>
      <c r="H6" s="500" t="s">
        <v>158</v>
      </c>
      <c r="I6" s="501"/>
      <c r="J6" s="475">
        <f>노즐산정!B9</f>
        <v>11.3</v>
      </c>
      <c r="K6" s="476"/>
    </row>
    <row r="7" spans="1:17" ht="24" customHeight="1">
      <c r="A7" s="516" t="s">
        <v>87</v>
      </c>
      <c r="B7" s="513"/>
      <c r="C7" s="499" t="s">
        <v>288</v>
      </c>
      <c r="D7" s="499"/>
      <c r="E7" s="508"/>
      <c r="F7" s="509"/>
      <c r="G7" s="509"/>
      <c r="H7" s="502" t="s">
        <v>159</v>
      </c>
      <c r="I7" s="503"/>
      <c r="J7" s="477">
        <f>노즐산정!C9</f>
        <v>774</v>
      </c>
      <c r="K7" s="478"/>
      <c r="O7" s="180"/>
    </row>
    <row r="8" spans="1:17" ht="24" customHeight="1">
      <c r="A8" s="516" t="s">
        <v>88</v>
      </c>
      <c r="B8" s="513"/>
      <c r="C8" s="504">
        <f>표지!D21</f>
        <v>46085</v>
      </c>
      <c r="D8" s="505"/>
      <c r="E8" s="508"/>
      <c r="F8" s="509"/>
      <c r="G8" s="509"/>
      <c r="H8" s="502" t="s">
        <v>160</v>
      </c>
      <c r="I8" s="503"/>
      <c r="J8" s="479">
        <f>노즐산정!C9</f>
        <v>774</v>
      </c>
      <c r="K8" s="480"/>
    </row>
    <row r="9" spans="1:17" ht="24" customHeight="1">
      <c r="A9" s="516" t="s">
        <v>89</v>
      </c>
      <c r="B9" s="513"/>
      <c r="C9" s="499" t="s">
        <v>232</v>
      </c>
      <c r="D9" s="499"/>
      <c r="E9" s="508"/>
      <c r="F9" s="509"/>
      <c r="G9" s="509"/>
      <c r="H9" s="473" t="s">
        <v>96</v>
      </c>
      <c r="I9" s="473"/>
      <c r="J9" s="483">
        <f>수분량!I44</f>
        <v>2.8067858193053357</v>
      </c>
      <c r="K9" s="484"/>
      <c r="L9" s="181"/>
      <c r="O9" s="182"/>
      <c r="P9" s="183"/>
      <c r="Q9" s="184"/>
    </row>
    <row r="10" spans="1:17" ht="24" customHeight="1">
      <c r="A10" s="516" t="s">
        <v>90</v>
      </c>
      <c r="B10" s="513"/>
      <c r="C10" s="481">
        <f>F27</f>
        <v>38.501086931032233</v>
      </c>
      <c r="D10" s="505"/>
      <c r="E10" s="510"/>
      <c r="F10" s="511"/>
      <c r="G10" s="511"/>
      <c r="H10" s="485" t="s">
        <v>97</v>
      </c>
      <c r="I10" s="486"/>
      <c r="J10" s="475">
        <v>1.5</v>
      </c>
      <c r="K10" s="476"/>
      <c r="L10" s="185"/>
      <c r="M10" s="186"/>
      <c r="N10" s="187"/>
      <c r="O10" s="187"/>
      <c r="P10" s="186"/>
      <c r="Q10" s="187"/>
    </row>
    <row r="11" spans="1:17" ht="24" customHeight="1">
      <c r="A11" s="512" t="s">
        <v>91</v>
      </c>
      <c r="B11" s="513"/>
      <c r="C11" s="525">
        <f>노즐산정!B15</f>
        <v>20.503333333333334</v>
      </c>
      <c r="D11" s="525"/>
      <c r="E11" s="526" t="s">
        <v>113</v>
      </c>
      <c r="F11" s="513"/>
      <c r="G11" s="188">
        <f>시료측정위치!B38</f>
        <v>1.0937000000000001</v>
      </c>
      <c r="H11" s="485" t="s">
        <v>98</v>
      </c>
      <c r="I11" s="486"/>
      <c r="J11" s="475">
        <f>IFERROR(INDEX(노즐산정!D39:D56,MATCH(노즐산정!$K$39,노즐산정!C39:C56,0)),"")/10</f>
        <v>0.71</v>
      </c>
      <c r="K11" s="476"/>
      <c r="L11" s="189"/>
      <c r="M11" s="189"/>
      <c r="N11" s="181"/>
      <c r="O11" s="181"/>
      <c r="P11" s="189"/>
      <c r="Q11" s="189"/>
    </row>
    <row r="12" spans="1:17" ht="24" customHeight="1">
      <c r="A12" s="512" t="s">
        <v>117</v>
      </c>
      <c r="B12" s="513"/>
      <c r="C12" s="475">
        <f>IFERROR(INDEX(노즐산정!E39:E56,MATCH(노즐산정!$K$39,노즐산정!C39:C56,0)),"")</f>
        <v>6.0536300206025526</v>
      </c>
      <c r="D12" s="475"/>
      <c r="E12" s="526" t="s">
        <v>281</v>
      </c>
      <c r="F12" s="513"/>
      <c r="G12" s="190">
        <f>(PI()/4)*G11^2</f>
        <v>0.93947733161932934</v>
      </c>
      <c r="H12" s="485" t="s">
        <v>93</v>
      </c>
      <c r="I12" s="486"/>
      <c r="J12" s="481">
        <f>J14/13.6</f>
        <v>-0.375</v>
      </c>
      <c r="K12" s="482"/>
      <c r="P12" s="189"/>
      <c r="Q12" s="189"/>
    </row>
    <row r="13" spans="1:17" ht="24" customHeight="1">
      <c r="A13" s="512" t="s">
        <v>95</v>
      </c>
      <c r="B13" s="513"/>
      <c r="C13" s="524">
        <f>(((D27+273)*(0.00346*수분량!F38+(G27*(Pas+F27/13.6))/((H27+273))))/((Pas+Ps)*B27*계산식!G27*Dn^2*PI()/4))*16670</f>
        <v>97.755223056139968</v>
      </c>
      <c r="D13" s="524"/>
      <c r="E13" s="191" t="s">
        <v>118</v>
      </c>
      <c r="F13" s="481">
        <f>노즐산정!C15</f>
        <v>0.26666666666666666</v>
      </c>
      <c r="G13" s="481"/>
      <c r="H13" s="492" t="s">
        <v>94</v>
      </c>
      <c r="I13" s="493"/>
      <c r="J13" s="475" t="s">
        <v>289</v>
      </c>
      <c r="K13" s="476"/>
      <c r="N13" s="192"/>
      <c r="O13" s="184"/>
      <c r="P13" s="184"/>
      <c r="Q13" s="183"/>
    </row>
    <row r="14" spans="1:17" ht="40.5">
      <c r="A14" s="193" t="s">
        <v>165</v>
      </c>
      <c r="B14" s="194" t="s">
        <v>225</v>
      </c>
      <c r="C14" s="195" t="s">
        <v>166</v>
      </c>
      <c r="D14" s="196"/>
      <c r="E14" s="197" t="s">
        <v>167</v>
      </c>
      <c r="F14" s="196"/>
      <c r="G14" s="198"/>
      <c r="H14" s="485" t="s">
        <v>276</v>
      </c>
      <c r="I14" s="486"/>
      <c r="J14" s="494">
        <f>노즐산정!I15</f>
        <v>-5.0999999999999996</v>
      </c>
      <c r="K14" s="495"/>
      <c r="M14" s="189"/>
      <c r="N14" s="189"/>
    </row>
    <row r="15" spans="1:17" ht="30.6" customHeight="1">
      <c r="A15" s="474" t="s">
        <v>81</v>
      </c>
      <c r="B15" s="473" t="s">
        <v>155</v>
      </c>
      <c r="C15" s="473" t="s">
        <v>176</v>
      </c>
      <c r="D15" s="473" t="s">
        <v>154</v>
      </c>
      <c r="E15" s="473" t="s">
        <v>277</v>
      </c>
      <c r="F15" s="473" t="s">
        <v>278</v>
      </c>
      <c r="G15" s="473" t="s">
        <v>161</v>
      </c>
      <c r="H15" s="473" t="s">
        <v>84</v>
      </c>
      <c r="I15" s="473"/>
      <c r="J15" s="473" t="s">
        <v>156</v>
      </c>
      <c r="K15" s="491" t="s">
        <v>157</v>
      </c>
      <c r="L15" s="472" t="s">
        <v>164</v>
      </c>
      <c r="M15" s="473" t="s">
        <v>163</v>
      </c>
      <c r="N15" s="473" t="s">
        <v>279</v>
      </c>
      <c r="O15" s="471" t="s">
        <v>177</v>
      </c>
    </row>
    <row r="16" spans="1:17" ht="24.75" customHeight="1">
      <c r="A16" s="474"/>
      <c r="B16" s="473"/>
      <c r="C16" s="473"/>
      <c r="D16" s="473"/>
      <c r="E16" s="473"/>
      <c r="F16" s="473"/>
      <c r="G16" s="473"/>
      <c r="H16" s="191" t="s">
        <v>8</v>
      </c>
      <c r="I16" s="191" t="s">
        <v>9</v>
      </c>
      <c r="J16" s="473"/>
      <c r="K16" s="491"/>
      <c r="L16" s="472"/>
      <c r="M16" s="473"/>
      <c r="N16" s="473"/>
      <c r="O16" s="471"/>
    </row>
    <row r="17" spans="1:17" ht="24" customHeight="1">
      <c r="A17" s="199" t="s">
        <v>226</v>
      </c>
      <c r="B17" s="200">
        <v>0</v>
      </c>
      <c r="C17" s="200">
        <v>90</v>
      </c>
      <c r="D17" s="201">
        <v>27</v>
      </c>
      <c r="E17" s="200">
        <v>5.8</v>
      </c>
      <c r="F17" s="188">
        <f>$C$12*E17</f>
        <v>35.111054119494803</v>
      </c>
      <c r="G17" s="202">
        <v>4769.32</v>
      </c>
      <c r="H17" s="203">
        <v>10</v>
      </c>
      <c r="I17" s="203">
        <v>10</v>
      </c>
      <c r="K17" s="204">
        <v>10</v>
      </c>
      <c r="L17" s="205" t="s">
        <v>162</v>
      </c>
      <c r="M17" s="206">
        <f>노즐산정!$D$9*(2*9.81*AVERAGE($E$17:E17)/N17)^0.5</f>
        <v>8.2476371289583312</v>
      </c>
      <c r="N17" s="206">
        <f>노즐산정!$H$26*(273/(273+AVERAGE($D$17:D17))*((Pa+Ps)/760))</f>
        <v>1.1803926011437718</v>
      </c>
      <c r="O17" s="207" t="s">
        <v>178</v>
      </c>
      <c r="P17" s="208"/>
    </row>
    <row r="18" spans="1:17" ht="24" customHeight="1">
      <c r="A18" s="199" t="s">
        <v>226</v>
      </c>
      <c r="B18" s="200">
        <v>5</v>
      </c>
      <c r="C18" s="200">
        <v>90</v>
      </c>
      <c r="D18" s="201">
        <v>28</v>
      </c>
      <c r="E18" s="200">
        <v>5.8</v>
      </c>
      <c r="F18" s="188">
        <f>$C$12*E18</f>
        <v>35.111054119494803</v>
      </c>
      <c r="G18" s="202">
        <v>4848.7</v>
      </c>
      <c r="H18" s="203">
        <v>10</v>
      </c>
      <c r="I18" s="203">
        <v>10</v>
      </c>
      <c r="J18" s="209"/>
      <c r="K18" s="204">
        <v>10</v>
      </c>
      <c r="L18" s="210">
        <f>((273+AVERAGE($D$17:D18))*((0.00346*O18+((G18-$G$17)*노즐산정!$F$9/1000)/(273+AVERAGE($H$17:I18))*(Pa+AVERAGE($F$17:F18)/13.6)))/((Pa+Ps)*B18*M18*(PI()/4)*Dn^2))*16670</f>
        <v>88.129191320209458</v>
      </c>
      <c r="M18" s="206">
        <f>노즐산정!$D$9*(2*9.81*AVERAGE($E$17:E18)/N18)^0.5</f>
        <v>8.2545072985202239</v>
      </c>
      <c r="N18" s="206">
        <f>노즐산정!$H$26*(273/(273+AVERAGE($D$17:D18))*((Pa+Ps)/760))</f>
        <v>1.178428553554514</v>
      </c>
      <c r="O18" s="207">
        <f>(((G18-$G$17)*노즐산정!$F$9*(273/(273+AVERAGE($H$17:I18)))*((Pa+AVERAGE($F$17:F18)/13.6)/760)*노즐산정!$D$15)/(100-노즐산정!$D$15)*(18/22.4))</f>
        <v>1.8887319854669693</v>
      </c>
      <c r="P18" s="211"/>
    </row>
    <row r="19" spans="1:17" ht="24" customHeight="1">
      <c r="A19" s="199" t="s">
        <v>226</v>
      </c>
      <c r="B19" s="200">
        <v>10</v>
      </c>
      <c r="C19" s="200">
        <v>90</v>
      </c>
      <c r="D19" s="201">
        <v>29</v>
      </c>
      <c r="E19" s="200">
        <v>5.8</v>
      </c>
      <c r="F19" s="188">
        <f t="shared" ref="F19" si="0">$C$12*E19</f>
        <v>35.111054119494803</v>
      </c>
      <c r="G19" s="202">
        <v>4934.7</v>
      </c>
      <c r="H19" s="203">
        <v>10</v>
      </c>
      <c r="I19" s="203">
        <v>10</v>
      </c>
      <c r="J19" s="209"/>
      <c r="K19" s="204">
        <v>10</v>
      </c>
      <c r="L19" s="210">
        <f>((273+AVERAGE($D$17:D19))*((0.00346*O19+((G19-$G$17)*노즐산정!$F$9/1000)/(273+AVERAGE($H$17:I19))*(Pa+AVERAGE($F$17:F19)/13.6)))/((Pa+Ps)*B19*M19*(PI()/4)*Dn^2))*16670</f>
        <v>91.880360815939639</v>
      </c>
      <c r="M19" s="206">
        <f>노즐산정!$D$9*(2*9.81*AVERAGE($E$17:E19)/N19)^0.5</f>
        <v>8.2613717548404324</v>
      </c>
      <c r="N19" s="206">
        <f>노즐산정!$H$26*(273/(273+AVERAGE($D$17:D19))*((Pa+Ps)/760))</f>
        <v>1.1764710310403039</v>
      </c>
      <c r="O19" s="207">
        <f>(((G19-$G$17)*노즐산정!$F$9*(273/(273+AVERAGE($H$17:I19)))*((Pa+AVERAGE($F$17:F19)/13.6)/760)*노즐산정!$D$15)/(100-노즐산정!$D$15)*(18/22.4))</f>
        <v>3.9349772708053319</v>
      </c>
      <c r="Q19" s="212"/>
    </row>
    <row r="20" spans="1:17" ht="24" customHeight="1">
      <c r="A20" s="199" t="s">
        <v>226</v>
      </c>
      <c r="B20" s="200">
        <v>18</v>
      </c>
      <c r="C20" s="200">
        <v>90</v>
      </c>
      <c r="D20" s="201">
        <v>29</v>
      </c>
      <c r="E20" s="200">
        <v>5.8</v>
      </c>
      <c r="F20" s="188">
        <f t="shared" ref="F20" si="1">$C$12*E20</f>
        <v>35.111054119494803</v>
      </c>
      <c r="G20" s="202">
        <v>5076.5</v>
      </c>
      <c r="H20" s="203">
        <v>10</v>
      </c>
      <c r="I20" s="203">
        <v>10</v>
      </c>
      <c r="J20" s="209"/>
      <c r="K20" s="204">
        <v>10</v>
      </c>
      <c r="L20" s="210">
        <f>((273+AVERAGE($D$17:D20))*((0.00346*O20+((G20-$G$17)*노즐산정!$F$9/1000)/(273+AVERAGE($H$17:I20))*(Pa+AVERAGE($F$17:F20)/13.6)))/((Pa+Ps)*B20*M20*(PI()/4)*Dn^2))*16670</f>
        <v>94.850672705722815</v>
      </c>
      <c r="M20" s="206">
        <f>노즐산정!$D$9*(2*9.81*AVERAGE($E$17:E20)/N20)^0.5</f>
        <v>8.2648018449840084</v>
      </c>
      <c r="N20" s="206">
        <f>노즐산정!$H$26*(273/(273+AVERAGE($D$17:D20))*((Pa+Ps)/760))</f>
        <v>1.1754947065332166</v>
      </c>
      <c r="O20" s="207">
        <f>(((G20-$G$17)*노즐산정!$F$9*(273/(273+AVERAGE($H$17:I20)))*((Pa+AVERAGE($F$17:F20)/13.6)/760)*노즐산정!$D$15)/(100-노즐산정!$D$15)*(18/22.4))</f>
        <v>7.3089026366306813</v>
      </c>
      <c r="P20" s="213"/>
    </row>
    <row r="21" spans="1:17" ht="24" customHeight="1">
      <c r="A21" s="199" t="s">
        <v>226</v>
      </c>
      <c r="B21" s="200">
        <v>23</v>
      </c>
      <c r="C21" s="200">
        <v>90</v>
      </c>
      <c r="D21" s="201">
        <v>27</v>
      </c>
      <c r="E21" s="200">
        <v>5.8</v>
      </c>
      <c r="F21" s="188">
        <f t="shared" ref="F21" si="2">$C$12*E21</f>
        <v>35.111054119494803</v>
      </c>
      <c r="G21" s="202">
        <v>5164.1400000000003</v>
      </c>
      <c r="H21" s="203">
        <v>10</v>
      </c>
      <c r="I21" s="203">
        <v>10</v>
      </c>
      <c r="J21" s="209"/>
      <c r="K21" s="204">
        <v>10</v>
      </c>
      <c r="L21" s="210">
        <f>((273+AVERAGE($D$17:D21))*((0.00346*O21+((G21-$G$17)*노즐산정!$F$9/1000)/(273+AVERAGE($H$17:I21))*(Pa+AVERAGE($F$17:F21)/13.6)))/((Pa+Ps)*B21*M21*(PI()/4)*Dn^2))*16670</f>
        <v>95.369830896300286</v>
      </c>
      <c r="M21" s="206">
        <f>노즐산정!$D$9*(2*9.81*AVERAGE($E$17:E21)/N21)^0.5</f>
        <v>8.2613717548404324</v>
      </c>
      <c r="N21" s="206">
        <f>노즐산정!$H$26*(273/(273+AVERAGE($D$17:D21))*((Pa+Ps)/760))</f>
        <v>1.1764710310403039</v>
      </c>
      <c r="O21" s="207">
        <f>(((G21-$G$17)*노즐산정!$F$9*(273/(273+AVERAGE($H$17:I21)))*((Pa+AVERAGE($F$17:F21)/13.6)/760)*노즐산정!$D$15)/(100-노즐산정!$D$15)*(18/22.4))</f>
        <v>9.3941693436894571</v>
      </c>
      <c r="P21" s="213"/>
    </row>
    <row r="22" spans="1:17" ht="24" customHeight="1">
      <c r="A22" s="199" t="s">
        <v>226</v>
      </c>
      <c r="B22" s="200">
        <v>28</v>
      </c>
      <c r="C22" s="200">
        <v>90</v>
      </c>
      <c r="D22" s="201">
        <v>27</v>
      </c>
      <c r="E22" s="200">
        <v>5.8</v>
      </c>
      <c r="F22" s="188">
        <f t="shared" ref="F22:F26" si="3">$C$12*E22</f>
        <v>35.111054119494803</v>
      </c>
      <c r="G22" s="202">
        <v>5260</v>
      </c>
      <c r="H22" s="203">
        <v>10</v>
      </c>
      <c r="I22" s="203">
        <v>10</v>
      </c>
      <c r="J22" s="209"/>
      <c r="K22" s="204">
        <v>10</v>
      </c>
      <c r="L22" s="210">
        <f>((273+AVERAGE($D$17:D22))*((0.00346*O22+((G22-$G$17)*노즐산정!$F$9/1000)/(273+AVERAGE($H$17:I22))*(Pa+AVERAGE($F$17:F22)/13.6)))/((Pa+Ps)*B22*M22*(PI()/4)*Dn^2))*16670</f>
        <v>97.332921646520489</v>
      </c>
      <c r="M22" s="206">
        <f>노즐산정!$D$9*(2*9.81*AVERAGE($E$17:E22)/N22)^0.5</f>
        <v>8.2590842366587296</v>
      </c>
      <c r="N22" s="206">
        <f>노즐산정!$H$26*(273/(273+AVERAGE($D$17:D22))*((Pa+Ps)/760))</f>
        <v>1.1771228155450355</v>
      </c>
      <c r="O22" s="207">
        <f>(((G22-$G$17)*노즐산정!$F$9*(273/(273+AVERAGE($H$17:I22)))*((Pa+AVERAGE($F$17:F22)/13.6)/760)*노즐산정!$D$15)/(100-노즐산정!$D$15)*(18/22.4))</f>
        <v>11.675019030346835</v>
      </c>
      <c r="Q22" s="212"/>
    </row>
    <row r="23" spans="1:17" ht="24" customHeight="1">
      <c r="A23" s="199" t="s">
        <v>230</v>
      </c>
      <c r="B23" s="200">
        <v>33</v>
      </c>
      <c r="C23" s="200">
        <v>100</v>
      </c>
      <c r="D23" s="201">
        <v>27</v>
      </c>
      <c r="E23" s="200">
        <v>7.2</v>
      </c>
      <c r="F23" s="188">
        <f t="shared" si="3"/>
        <v>43.586136148338383</v>
      </c>
      <c r="G23" s="202">
        <v>5358.5</v>
      </c>
      <c r="H23" s="203">
        <v>10</v>
      </c>
      <c r="I23" s="203">
        <v>10</v>
      </c>
      <c r="J23" s="209"/>
      <c r="K23" s="204">
        <v>10</v>
      </c>
      <c r="L23" s="210">
        <f>((273+AVERAGE($D$17:D23))*((0.00346*O23+((G23-$G$17)*노즐산정!$F$9/1000)/(273+AVERAGE($H$17:I23))*(Pa+AVERAGE($F$17:F23)/13.6)))/((Pa+Ps)*B23*M23*(PI()/4)*Dn^2))*16670</f>
        <v>97.489018334222877</v>
      </c>
      <c r="M23" s="206">
        <f>노즐산정!$D$9*(2*9.81*AVERAGE($E$17:E23)/N23)^0.5</f>
        <v>8.398613122493984</v>
      </c>
      <c r="N23" s="206">
        <f>노즐산정!$H$26*(273/(273+AVERAGE($D$17:D23))*((Pa+Ps)/760))</f>
        <v>1.1775888182431926</v>
      </c>
      <c r="O23" s="207">
        <f>(((G23-$G$17)*노즐산정!$F$9*(273/(273+AVERAGE($H$17:I23)))*((Pa+AVERAGE($F$17:F23)/13.6)/760)*노즐산정!$D$15)/(100-노즐산정!$D$15)*(18/22.4))</f>
        <v>14.020290729894946</v>
      </c>
      <c r="P23" s="213"/>
    </row>
    <row r="24" spans="1:17" ht="24" customHeight="1">
      <c r="A24" s="199" t="s">
        <v>230</v>
      </c>
      <c r="B24" s="200">
        <v>40</v>
      </c>
      <c r="C24" s="200">
        <v>100</v>
      </c>
      <c r="D24" s="201">
        <v>28</v>
      </c>
      <c r="E24" s="200">
        <v>7.2</v>
      </c>
      <c r="F24" s="188">
        <f t="shared" si="3"/>
        <v>43.586136148338383</v>
      </c>
      <c r="G24" s="202">
        <v>5499</v>
      </c>
      <c r="H24" s="203">
        <v>10</v>
      </c>
      <c r="I24" s="203">
        <v>10</v>
      </c>
      <c r="J24" s="209"/>
      <c r="K24" s="204">
        <v>10</v>
      </c>
      <c r="L24" s="210">
        <f>((273+AVERAGE($D$17:D24))*((0.00346*O24+((G24-$G$17)*노즐산정!$F$9/1000)/(273+AVERAGE($H$17:I24))*(Pa+AVERAGE($F$17:F24)/13.6)))/((Pa+Ps)*B24*M24*(PI()/4)*Dn^2))*16670</f>
        <v>98.400041376023353</v>
      </c>
      <c r="M24" s="206">
        <f>노즐산정!$D$9*(2*9.81*AVERAGE($E$17:E24)/N24)^0.5</f>
        <v>8.5034526313400143</v>
      </c>
      <c r="N24" s="206">
        <f>노즐산정!$H$26*(273/(273+AVERAGE($D$17:D24))*((Pa+Ps)/760))</f>
        <v>1.177448978697029</v>
      </c>
      <c r="O24" s="207">
        <f>(((G24-$G$17)*노즐산정!$F$9*(273/(273+AVERAGE($H$17:I24)))*((Pa+AVERAGE($F$17:F24)/13.6)/760)*노즐산정!$D$15)/(100-노즐산정!$D$15)*(18/22.4))</f>
        <v>17.365160408082261</v>
      </c>
      <c r="P24" s="213"/>
    </row>
    <row r="25" spans="1:17" ht="24" customHeight="1">
      <c r="A25" s="199" t="s">
        <v>230</v>
      </c>
      <c r="B25" s="200">
        <v>48</v>
      </c>
      <c r="C25" s="200">
        <v>100</v>
      </c>
      <c r="D25" s="201">
        <v>28</v>
      </c>
      <c r="E25" s="200">
        <v>7.2</v>
      </c>
      <c r="F25" s="188">
        <f t="shared" si="3"/>
        <v>43.586136148338383</v>
      </c>
      <c r="G25" s="202">
        <v>5658</v>
      </c>
      <c r="H25" s="203">
        <v>10</v>
      </c>
      <c r="I25" s="203">
        <v>10</v>
      </c>
      <c r="J25" s="209"/>
      <c r="K25" s="204">
        <v>10</v>
      </c>
      <c r="L25" s="210">
        <f>((273+AVERAGE($D$17:D25))*((0.00346*O25+((G25-$G$17)*노즐산정!$F$9/1000)/(273+AVERAGE($H$17:I25))*(Pa+AVERAGE($F$17:F25)/13.6)))/((Pa+Ps)*B25*M25*(PI()/4)*Dn^2))*16670</f>
        <v>98.945340924640433</v>
      </c>
      <c r="M25" s="206">
        <f>노즐산정!$D$9*(2*9.81*AVERAGE($E$17:E25)/N25)^0.5</f>
        <v>8.5841261514162994</v>
      </c>
      <c r="N25" s="206">
        <f>노즐산정!$H$26*(273/(273+AVERAGE($D$17:D25))*((Pa+Ps)/760))</f>
        <v>1.1773402375648996</v>
      </c>
      <c r="O25" s="207">
        <f>(((G25-$G$17)*노즐산정!$F$9*(273/(273+AVERAGE($H$17:I25)))*((Pa+AVERAGE($F$17:F25)/13.6)/760)*노즐산정!$D$15)/(100-노즐산정!$D$15)*(18/22.4))</f>
        <v>21.150507756273736</v>
      </c>
      <c r="P25" s="213"/>
    </row>
    <row r="26" spans="1:17" ht="24" customHeight="1">
      <c r="A26" s="199" t="s">
        <v>230</v>
      </c>
      <c r="B26" s="200">
        <v>56</v>
      </c>
      <c r="C26" s="200">
        <v>100</v>
      </c>
      <c r="D26" s="201">
        <v>28</v>
      </c>
      <c r="E26" s="200">
        <v>7.2</v>
      </c>
      <c r="F26" s="188">
        <f t="shared" si="3"/>
        <v>43.586136148338383</v>
      </c>
      <c r="G26" s="202">
        <v>5802.95</v>
      </c>
      <c r="H26" s="203">
        <v>11</v>
      </c>
      <c r="I26" s="203">
        <v>11</v>
      </c>
      <c r="J26" s="209"/>
      <c r="K26" s="204">
        <v>10</v>
      </c>
      <c r="L26" s="210">
        <f>((273+AVERAGE($D$17:D26))*((0.00346*O26+((G26-$G$17)*노즐산정!$F$9/1000)/(273+AVERAGE($H$17:I26))*(Pa+AVERAGE($F$17:F26)/13.6)))/((Pa+Ps)*B26*M26*(PI()/4)*Dn^2))*16670</f>
        <v>97.891240920716953</v>
      </c>
      <c r="M26" s="206">
        <f>노즐산정!$D$9*(2*9.81*AVERAGE($E$17:E26)/N26)^0.5</f>
        <v>8.6481336903387689</v>
      </c>
      <c r="N26" s="206">
        <f>노즐산정!$H$26*(273/(273+AVERAGE($D$17:D26))*((Pa+Ps)/760))</f>
        <v>1.1772532591194531</v>
      </c>
      <c r="O26" s="207">
        <f>(((G26-$G$17)*노즐산정!$F$9*(273/(273+AVERAGE($H$17:I26)))*((Pa+AVERAGE($F$17:F26)/13.6)/760)*노즐산정!$D$15)/(100-노즐산정!$D$15)*(18/22.4))</f>
        <v>24.592930920804637</v>
      </c>
      <c r="P26" s="213"/>
    </row>
    <row r="27" spans="1:17" ht="24" customHeight="1">
      <c r="A27" s="214" t="s">
        <v>65</v>
      </c>
      <c r="B27" s="215">
        <f>MAX(B17:B26)</f>
        <v>56</v>
      </c>
      <c r="C27" s="215">
        <f>AVERAGE(C17:C26)</f>
        <v>94</v>
      </c>
      <c r="D27" s="215">
        <f>AVERAGE(D17:D26)</f>
        <v>27.8</v>
      </c>
      <c r="E27" s="216">
        <f>AVERAGE(E17:E26)</f>
        <v>6.3600000000000012</v>
      </c>
      <c r="F27" s="217">
        <f>AVERAGE(F17:F26)</f>
        <v>38.501086931032233</v>
      </c>
      <c r="G27" s="218">
        <f>((MAX(G17:G26)-MIN(G17:G26))/1000)*노즐산정!F9</f>
        <v>1.02432733</v>
      </c>
      <c r="H27" s="489">
        <f>AVERAGE(H17:I26)</f>
        <v>10.1</v>
      </c>
      <c r="I27" s="490"/>
      <c r="J27" s="215" t="e">
        <f>AVERAGE(J17:J26)</f>
        <v>#DIV/0!</v>
      </c>
      <c r="K27" s="219">
        <f>AVERAGE(K17:K26)</f>
        <v>10</v>
      </c>
    </row>
    <row r="28" spans="1:17" ht="27.75" customHeight="1" thickBot="1">
      <c r="A28" s="220"/>
      <c r="B28" s="221" t="s">
        <v>39</v>
      </c>
      <c r="C28" s="221" t="s">
        <v>82</v>
      </c>
      <c r="D28" s="221" t="s">
        <v>38</v>
      </c>
      <c r="E28" s="222" t="s">
        <v>280</v>
      </c>
      <c r="F28" s="222" t="s">
        <v>280</v>
      </c>
      <c r="G28" s="222" t="s">
        <v>83</v>
      </c>
      <c r="H28" s="487" t="s">
        <v>38</v>
      </c>
      <c r="I28" s="488"/>
      <c r="J28" s="222" t="s">
        <v>38</v>
      </c>
      <c r="K28" s="223" t="s">
        <v>38</v>
      </c>
    </row>
    <row r="29" spans="1:17" ht="8.25" customHeight="1">
      <c r="A29" s="224"/>
      <c r="B29" s="225"/>
      <c r="C29" s="225"/>
      <c r="D29" s="225"/>
      <c r="E29" s="226"/>
      <c r="F29" s="226"/>
      <c r="G29" s="226"/>
      <c r="H29" s="226"/>
      <c r="I29" s="226"/>
      <c r="J29" s="226"/>
      <c r="K29" s="227"/>
    </row>
    <row r="30" spans="1:17">
      <c r="A30" s="228"/>
      <c r="G30" s="229" t="s">
        <v>182</v>
      </c>
      <c r="K30" s="230"/>
    </row>
    <row r="31" spans="1:17">
      <c r="A31" s="228"/>
      <c r="G31" s="231">
        <f>G27*(273/(273+H27))*((Pas+F27/13.6)/760)</f>
        <v>1.0096584228524932</v>
      </c>
      <c r="K31" s="230"/>
    </row>
    <row r="32" spans="1:17">
      <c r="A32" s="228"/>
      <c r="K32" s="230"/>
    </row>
    <row r="33" spans="1:11">
      <c r="A33" s="228"/>
      <c r="K33" s="230"/>
    </row>
    <row r="34" spans="1:11" ht="17.25" thickBot="1">
      <c r="A34" s="228"/>
      <c r="K34" s="230"/>
    </row>
    <row r="35" spans="1:11" ht="17.25" thickBot="1">
      <c r="A35" s="517" t="s">
        <v>220</v>
      </c>
      <c r="B35" s="518"/>
      <c r="C35" s="518"/>
      <c r="D35" s="518"/>
      <c r="E35" s="518"/>
      <c r="F35" s="518"/>
      <c r="G35" s="518"/>
      <c r="H35" s="518"/>
      <c r="I35" s="518"/>
      <c r="J35" s="518"/>
      <c r="K35" s="519"/>
    </row>
  </sheetData>
  <mergeCells count="60">
    <mergeCell ref="A35:K35"/>
    <mergeCell ref="A10:B10"/>
    <mergeCell ref="H9:I9"/>
    <mergeCell ref="H10:I10"/>
    <mergeCell ref="C5:D5"/>
    <mergeCell ref="J5:K5"/>
    <mergeCell ref="F15:F16"/>
    <mergeCell ref="C13:D13"/>
    <mergeCell ref="C12:D12"/>
    <mergeCell ref="C11:D11"/>
    <mergeCell ref="C10:D10"/>
    <mergeCell ref="E11:F11"/>
    <mergeCell ref="E12:F12"/>
    <mergeCell ref="F13:G13"/>
    <mergeCell ref="C15:C16"/>
    <mergeCell ref="D15:D16"/>
    <mergeCell ref="E15:E16"/>
    <mergeCell ref="G15:G16"/>
    <mergeCell ref="E5:G10"/>
    <mergeCell ref="A11:B11"/>
    <mergeCell ref="A12:B12"/>
    <mergeCell ref="A13:B13"/>
    <mergeCell ref="C9:D9"/>
    <mergeCell ref="A5:B5"/>
    <mergeCell ref="A6:B6"/>
    <mergeCell ref="A7:B7"/>
    <mergeCell ref="A8:B8"/>
    <mergeCell ref="A9:B9"/>
    <mergeCell ref="H5:I5"/>
    <mergeCell ref="C6:D6"/>
    <mergeCell ref="H6:I6"/>
    <mergeCell ref="H7:I7"/>
    <mergeCell ref="H8:I8"/>
    <mergeCell ref="C7:D7"/>
    <mergeCell ref="C8:D8"/>
    <mergeCell ref="H28:I28"/>
    <mergeCell ref="H27:I27"/>
    <mergeCell ref="J13:K13"/>
    <mergeCell ref="K15:K16"/>
    <mergeCell ref="H13:I13"/>
    <mergeCell ref="H15:I15"/>
    <mergeCell ref="J15:J16"/>
    <mergeCell ref="J14:K14"/>
    <mergeCell ref="H14:I14"/>
    <mergeCell ref="A1:K4"/>
    <mergeCell ref="O15:O16"/>
    <mergeCell ref="L15:L16"/>
    <mergeCell ref="M15:M16"/>
    <mergeCell ref="N15:N16"/>
    <mergeCell ref="A15:A16"/>
    <mergeCell ref="B15:B16"/>
    <mergeCell ref="J6:K6"/>
    <mergeCell ref="J7:K7"/>
    <mergeCell ref="J8:K8"/>
    <mergeCell ref="J12:K12"/>
    <mergeCell ref="J9:K9"/>
    <mergeCell ref="J10:K10"/>
    <mergeCell ref="J11:K11"/>
    <mergeCell ref="H11:I11"/>
    <mergeCell ref="H12:I12"/>
  </mergeCells>
  <phoneticPr fontId="3" type="noConversion"/>
  <pageMargins left="0.46" right="0.27" top="0.56000000000000005" bottom="0.59" header="0.5" footer="0.5"/>
  <pageSetup paperSize="9" scale="81" orientation="portrait" verticalDpi="3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W81"/>
  <sheetViews>
    <sheetView tabSelected="1" view="pageBreakPreview" zoomScale="85" zoomScaleNormal="90" zoomScaleSheetLayoutView="85" workbookViewId="0">
      <selection activeCell="K19" sqref="K19:K20"/>
    </sheetView>
  </sheetViews>
  <sheetFormatPr defaultColWidth="8.88671875" defaultRowHeight="16.5"/>
  <cols>
    <col min="1" max="1" width="5.6640625" style="38" customWidth="1"/>
    <col min="2" max="2" width="14.109375" style="38" bestFit="1" customWidth="1"/>
    <col min="3" max="3" width="3.44140625" style="38" customWidth="1"/>
    <col min="4" max="4" width="8.88671875" style="38" customWidth="1"/>
    <col min="5" max="5" width="10.5546875" style="38" bestFit="1" customWidth="1"/>
    <col min="6" max="6" width="3" style="38" customWidth="1"/>
    <col min="7" max="7" width="10.6640625" style="38" customWidth="1"/>
    <col min="8" max="8" width="15.109375" style="38" bestFit="1" customWidth="1"/>
    <col min="9" max="9" width="15" style="38" bestFit="1" customWidth="1"/>
    <col min="10" max="10" width="7.33203125" style="38" customWidth="1"/>
    <col min="11" max="12" width="15.109375" style="38" bestFit="1" customWidth="1"/>
    <col min="13" max="13" width="7.77734375" style="38" bestFit="1" customWidth="1"/>
    <col min="14" max="14" width="5.109375" style="38" customWidth="1"/>
    <col min="15" max="15" width="5.6640625" style="38" customWidth="1"/>
    <col min="16" max="16" width="4.44140625" style="38" customWidth="1"/>
    <col min="17" max="17" width="5.109375" style="38" customWidth="1"/>
    <col min="18" max="18" width="9.6640625" style="38" customWidth="1"/>
    <col min="19" max="19" width="4.109375" style="38" customWidth="1"/>
    <col min="20" max="20" width="8.109375" style="38" bestFit="1" customWidth="1"/>
    <col min="21" max="22" width="5.109375" style="38" customWidth="1"/>
    <col min="23" max="23" width="5.88671875" style="38" customWidth="1"/>
    <col min="24" max="24" width="7.88671875" style="38" customWidth="1"/>
    <col min="25" max="25" width="3" style="38" customWidth="1"/>
    <col min="26" max="26" width="6.6640625" style="38" customWidth="1"/>
    <col min="27" max="27" width="3" style="38" customWidth="1"/>
    <col min="28" max="28" width="6.6640625" style="38" customWidth="1"/>
    <col min="29" max="29" width="3" style="38" customWidth="1"/>
    <col min="30" max="30" width="6.6640625" style="38" customWidth="1"/>
    <col min="31" max="31" width="3" style="38" customWidth="1"/>
    <col min="32" max="32" width="6.6640625" style="38" customWidth="1"/>
    <col min="33" max="34" width="3" style="38" customWidth="1"/>
    <col min="35" max="35" width="10.33203125" style="38" customWidth="1"/>
    <col min="36" max="36" width="3" style="38" customWidth="1"/>
    <col min="37" max="16384" width="8.88671875" style="38"/>
  </cols>
  <sheetData>
    <row r="1" spans="1:23" ht="13.5" customHeight="1">
      <c r="A1" s="527" t="s">
        <v>237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  <c r="T1" s="528"/>
      <c r="U1" s="528"/>
      <c r="V1" s="528"/>
      <c r="W1" s="529"/>
    </row>
    <row r="2" spans="1:23" ht="13.5" customHeight="1">
      <c r="A2" s="530"/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531"/>
    </row>
    <row r="3" spans="1:23" ht="13.5" customHeight="1" thickBot="1">
      <c r="A3" s="532"/>
      <c r="B3" s="533"/>
      <c r="C3" s="533"/>
      <c r="D3" s="533"/>
      <c r="E3" s="533"/>
      <c r="F3" s="533"/>
      <c r="G3" s="533"/>
      <c r="H3" s="533"/>
      <c r="I3" s="533"/>
      <c r="J3" s="533"/>
      <c r="K3" s="533"/>
      <c r="L3" s="533"/>
      <c r="M3" s="533"/>
      <c r="N3" s="533"/>
      <c r="O3" s="533"/>
      <c r="P3" s="533"/>
      <c r="Q3" s="533"/>
      <c r="R3" s="533"/>
      <c r="S3" s="533"/>
      <c r="T3" s="533"/>
      <c r="U3" s="533"/>
      <c r="V3" s="533"/>
      <c r="W3" s="534"/>
    </row>
    <row r="4" spans="1:23" ht="13.5" customHeight="1">
      <c r="A4" s="232" t="s">
        <v>105</v>
      </c>
      <c r="W4" s="233"/>
    </row>
    <row r="5" spans="1:23">
      <c r="A5" s="234"/>
      <c r="W5" s="233"/>
    </row>
    <row r="6" spans="1:23">
      <c r="A6" s="234"/>
      <c r="W6" s="233"/>
    </row>
    <row r="7" spans="1:23">
      <c r="A7" s="234"/>
      <c r="W7" s="233"/>
    </row>
    <row r="8" spans="1:23">
      <c r="A8" s="234"/>
      <c r="W8" s="233"/>
    </row>
    <row r="9" spans="1:23" ht="17.25" thickBot="1">
      <c r="A9" s="234"/>
      <c r="G9" s="235">
        <v>22.4</v>
      </c>
      <c r="H9" s="548">
        <f>수분량!F38</f>
        <v>23.42999999999995</v>
      </c>
      <c r="I9" s="236"/>
      <c r="W9" s="233"/>
    </row>
    <row r="10" spans="1:23">
      <c r="A10" s="547" t="s">
        <v>104</v>
      </c>
      <c r="B10" s="237"/>
      <c r="C10" s="237"/>
      <c r="D10" s="237"/>
      <c r="E10" s="237"/>
      <c r="F10" s="237"/>
      <c r="G10" s="235">
        <v>18</v>
      </c>
      <c r="H10" s="549"/>
      <c r="I10" s="238"/>
      <c r="J10" s="237"/>
      <c r="K10" s="237"/>
      <c r="L10" s="237"/>
      <c r="M10" s="537" t="s">
        <v>100</v>
      </c>
      <c r="N10" s="537">
        <v>100</v>
      </c>
      <c r="O10" s="550" t="s">
        <v>109</v>
      </c>
      <c r="P10" s="560">
        <f>(22.4/18*H9*100)/(B11*(273/(273+E12))*(G11+I11)/760+22.4/18*L11)</f>
        <v>2.8067858193053357</v>
      </c>
      <c r="Q10" s="561"/>
      <c r="W10" s="233"/>
    </row>
    <row r="11" spans="1:23" ht="15.75" customHeight="1" thickBot="1">
      <c r="A11" s="547"/>
      <c r="B11" s="556">
        <f>(MAX('기록지(수분량자동측정기)'!G17:G26)-MIN('기록지(수분량자동측정기)'!G17:G26))*노즐산정!F9</f>
        <v>1024.3273300000001</v>
      </c>
      <c r="C11" s="537" t="s">
        <v>100</v>
      </c>
      <c r="D11" s="564">
        <v>273</v>
      </c>
      <c r="E11" s="564"/>
      <c r="F11" s="537" t="s">
        <v>100</v>
      </c>
      <c r="G11" s="239">
        <f>Pas</f>
        <v>774</v>
      </c>
      <c r="H11" s="235" t="s">
        <v>67</v>
      </c>
      <c r="I11" s="240">
        <f>'기록지(수분량자동측정기)'!F27/13.6</f>
        <v>2.8309622743406053</v>
      </c>
      <c r="J11" s="537" t="s">
        <v>67</v>
      </c>
      <c r="K11" s="241">
        <v>22.4</v>
      </c>
      <c r="L11" s="548">
        <f>수분량!F38</f>
        <v>23.42999999999995</v>
      </c>
      <c r="M11" s="537"/>
      <c r="N11" s="537"/>
      <c r="O11" s="550"/>
      <c r="P11" s="562"/>
      <c r="Q11" s="563"/>
      <c r="W11" s="233"/>
    </row>
    <row r="12" spans="1:23">
      <c r="A12" s="234"/>
      <c r="B12" s="556"/>
      <c r="C12" s="537"/>
      <c r="D12" s="242" t="s">
        <v>68</v>
      </c>
      <c r="E12" s="243">
        <f>'기록지(수분량자동측정기)'!H27</f>
        <v>10.1</v>
      </c>
      <c r="F12" s="537"/>
      <c r="G12" s="551">
        <v>760</v>
      </c>
      <c r="H12" s="551"/>
      <c r="I12" s="551"/>
      <c r="J12" s="537"/>
      <c r="K12" s="51">
        <v>18</v>
      </c>
      <c r="L12" s="548"/>
      <c r="W12" s="233"/>
    </row>
    <row r="13" spans="1:23" ht="17.25" thickBot="1">
      <c r="A13" s="244"/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  <c r="U13" s="245"/>
      <c r="V13" s="245"/>
      <c r="W13" s="246"/>
    </row>
    <row r="14" spans="1:23">
      <c r="A14" s="247" t="s">
        <v>108</v>
      </c>
      <c r="B14" s="248"/>
      <c r="C14" s="248"/>
      <c r="D14" s="248"/>
      <c r="E14" s="248"/>
      <c r="F14" s="248"/>
      <c r="G14" s="248"/>
      <c r="H14" s="248"/>
      <c r="I14" s="248"/>
      <c r="J14" s="248"/>
      <c r="K14" s="248"/>
      <c r="L14" s="248"/>
      <c r="M14" s="248"/>
      <c r="N14" s="248"/>
      <c r="O14" s="248"/>
      <c r="P14" s="248"/>
      <c r="R14" s="248"/>
      <c r="T14" s="248"/>
      <c r="W14" s="233"/>
    </row>
    <row r="15" spans="1:23">
      <c r="A15" s="249"/>
      <c r="W15" s="233"/>
    </row>
    <row r="16" spans="1:23">
      <c r="A16" s="234"/>
      <c r="W16" s="233"/>
    </row>
    <row r="17" spans="1:23">
      <c r="A17" s="234"/>
      <c r="W17" s="233"/>
    </row>
    <row r="18" spans="1:23" ht="17.25" thickBot="1">
      <c r="A18" s="234"/>
      <c r="W18" s="233"/>
    </row>
    <row r="19" spans="1:23">
      <c r="A19" s="547" t="s">
        <v>103</v>
      </c>
      <c r="B19" s="548">
        <f>노즐산정!H26</f>
        <v>1.2742897297321429</v>
      </c>
      <c r="C19" s="537" t="s">
        <v>100</v>
      </c>
      <c r="D19" s="564">
        <v>273</v>
      </c>
      <c r="E19" s="564"/>
      <c r="F19" s="537" t="s">
        <v>100</v>
      </c>
      <c r="G19" s="250">
        <f>수분량!F44</f>
        <v>774</v>
      </c>
      <c r="H19" s="235" t="s">
        <v>70</v>
      </c>
      <c r="I19" s="251">
        <f>Ps</f>
        <v>-0.375</v>
      </c>
      <c r="J19" s="550" t="s">
        <v>109</v>
      </c>
      <c r="K19" s="558">
        <f>B19*273/(273+E20)*(G19+I19)/760</f>
        <v>1.1772532591194531</v>
      </c>
      <c r="W19" s="233"/>
    </row>
    <row r="20" spans="1:23" ht="17.25" thickBot="1">
      <c r="A20" s="547"/>
      <c r="B20" s="548"/>
      <c r="C20" s="537"/>
      <c r="D20" s="242" t="s">
        <v>69</v>
      </c>
      <c r="E20" s="252">
        <f>'기록지(수분량자동측정기)'!D27</f>
        <v>27.8</v>
      </c>
      <c r="F20" s="537"/>
      <c r="G20" s="551">
        <v>760</v>
      </c>
      <c r="H20" s="551"/>
      <c r="I20" s="551"/>
      <c r="J20" s="550"/>
      <c r="K20" s="559"/>
      <c r="W20" s="233"/>
    </row>
    <row r="21" spans="1:23" ht="17.25" thickBot="1">
      <c r="A21" s="244"/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6"/>
    </row>
    <row r="22" spans="1:23">
      <c r="A22" s="247" t="s">
        <v>106</v>
      </c>
      <c r="B22" s="248"/>
      <c r="C22" s="248"/>
      <c r="D22" s="248"/>
      <c r="E22" s="248"/>
      <c r="F22" s="248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W22" s="233"/>
    </row>
    <row r="23" spans="1:23">
      <c r="A23" s="234"/>
      <c r="W23" s="233"/>
    </row>
    <row r="24" spans="1:23">
      <c r="A24" s="234"/>
      <c r="W24" s="233"/>
    </row>
    <row r="25" spans="1:23">
      <c r="A25" s="234"/>
      <c r="W25" s="233"/>
    </row>
    <row r="26" spans="1:23" ht="17.25" thickBot="1">
      <c r="A26" s="234"/>
      <c r="D26" s="237"/>
      <c r="E26" s="237"/>
      <c r="W26" s="233"/>
    </row>
    <row r="27" spans="1:23">
      <c r="A27" s="546" t="s">
        <v>282</v>
      </c>
      <c r="B27" s="556">
        <f>'기록지(수분량자동측정기)'!J5</f>
        <v>0.84</v>
      </c>
      <c r="C27" s="565" t="s">
        <v>114</v>
      </c>
      <c r="D27" s="237" t="s">
        <v>101</v>
      </c>
      <c r="E27" s="250">
        <f>'기록지(수분량자동측정기)'!E27</f>
        <v>6.3600000000000012</v>
      </c>
      <c r="F27" s="550" t="s">
        <v>109</v>
      </c>
      <c r="G27" s="552">
        <f>B27*(SQRT((2*9.81*E27)/D28))</f>
        <v>8.6481336903387689</v>
      </c>
      <c r="W27" s="233"/>
    </row>
    <row r="28" spans="1:23" ht="17.25" thickBot="1">
      <c r="A28" s="547"/>
      <c r="B28" s="555"/>
      <c r="C28" s="565"/>
      <c r="D28" s="557">
        <f>rr</f>
        <v>1.1772532591194531</v>
      </c>
      <c r="E28" s="557"/>
      <c r="F28" s="550"/>
      <c r="G28" s="553"/>
      <c r="W28" s="233"/>
    </row>
    <row r="29" spans="1:23" ht="17.25" thickBot="1">
      <c r="A29" s="253"/>
      <c r="B29" s="254"/>
      <c r="C29" s="255"/>
      <c r="D29" s="256"/>
      <c r="E29" s="256"/>
      <c r="F29" s="245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  <c r="U29" s="245"/>
      <c r="V29" s="245"/>
      <c r="W29" s="246"/>
    </row>
    <row r="30" spans="1:23">
      <c r="A30" s="257" t="s">
        <v>107</v>
      </c>
      <c r="B30" s="258"/>
      <c r="C30" s="259"/>
      <c r="D30" s="260"/>
      <c r="E30" s="260"/>
      <c r="F30" s="248"/>
      <c r="G30" s="248"/>
      <c r="H30" s="248"/>
      <c r="I30" s="248"/>
      <c r="J30" s="248"/>
      <c r="K30" s="248"/>
      <c r="L30" s="248"/>
      <c r="M30" s="248"/>
      <c r="N30" s="248"/>
      <c r="O30" s="248"/>
      <c r="P30" s="248"/>
      <c r="W30" s="233"/>
    </row>
    <row r="31" spans="1:23">
      <c r="A31" s="261"/>
      <c r="B31" s="262"/>
      <c r="C31" s="51"/>
      <c r="D31" s="263"/>
      <c r="E31" s="263"/>
      <c r="W31" s="233"/>
    </row>
    <row r="32" spans="1:23">
      <c r="B32" s="264" t="s">
        <v>147</v>
      </c>
      <c r="C32" s="51"/>
      <c r="D32" s="263"/>
      <c r="E32" s="263"/>
      <c r="W32" s="233"/>
    </row>
    <row r="33" spans="1:23">
      <c r="A33" s="265"/>
      <c r="B33" s="262"/>
      <c r="C33" s="51"/>
      <c r="D33" s="263"/>
      <c r="E33" s="263"/>
      <c r="W33" s="233"/>
    </row>
    <row r="34" spans="1:23" ht="17.25" thickBot="1">
      <c r="A34" s="265"/>
      <c r="B34" s="262"/>
      <c r="C34" s="51"/>
      <c r="D34" s="263"/>
      <c r="E34" s="263"/>
      <c r="W34" s="233"/>
    </row>
    <row r="35" spans="1:23">
      <c r="A35" s="547" t="s">
        <v>71</v>
      </c>
      <c r="B35" s="554"/>
      <c r="C35" s="554"/>
      <c r="D35" s="548">
        <f>수분량!F37</f>
        <v>6.2000000000000455</v>
      </c>
      <c r="E35" s="548"/>
      <c r="F35" s="537" t="s">
        <v>67</v>
      </c>
      <c r="G35" s="555">
        <f>SUM(수분량!F34:H36)</f>
        <v>17.229999999999905</v>
      </c>
      <c r="H35" s="550" t="s">
        <v>109</v>
      </c>
      <c r="I35" s="544">
        <f>D35+G35</f>
        <v>23.42999999999995</v>
      </c>
      <c r="W35" s="233"/>
    </row>
    <row r="36" spans="1:23" ht="17.25" thickBot="1">
      <c r="A36" s="547"/>
      <c r="B36" s="554"/>
      <c r="C36" s="554"/>
      <c r="D36" s="548"/>
      <c r="E36" s="548"/>
      <c r="F36" s="537"/>
      <c r="G36" s="555"/>
      <c r="H36" s="550"/>
      <c r="I36" s="545"/>
      <c r="W36" s="233"/>
    </row>
    <row r="37" spans="1:23" ht="17.25" thickBot="1">
      <c r="A37" s="244"/>
      <c r="B37" s="245"/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  <c r="U37" s="245"/>
      <c r="V37" s="245"/>
      <c r="W37" s="246"/>
    </row>
    <row r="38" spans="1:23">
      <c r="A38" s="247" t="s">
        <v>110</v>
      </c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  <c r="T38" s="248"/>
      <c r="U38" s="248"/>
      <c r="V38" s="248"/>
      <c r="W38" s="266"/>
    </row>
    <row r="39" spans="1:23">
      <c r="A39" s="234"/>
      <c r="W39" s="233"/>
    </row>
    <row r="40" spans="1:23">
      <c r="A40" s="234"/>
      <c r="W40" s="233"/>
    </row>
    <row r="41" spans="1:23">
      <c r="A41" s="234"/>
      <c r="W41" s="233"/>
    </row>
    <row r="42" spans="1:23">
      <c r="A42" s="234"/>
      <c r="W42" s="233"/>
    </row>
    <row r="43" spans="1:23">
      <c r="A43" s="234"/>
      <c r="W43" s="233"/>
    </row>
    <row r="44" spans="1:23">
      <c r="A44" s="234"/>
      <c r="W44" s="233"/>
    </row>
    <row r="45" spans="1:23">
      <c r="A45" s="234"/>
      <c r="W45" s="233"/>
    </row>
    <row r="46" spans="1:23" ht="17.25" thickBot="1">
      <c r="A46" s="234"/>
      <c r="W46" s="233"/>
    </row>
    <row r="47" spans="1:23">
      <c r="A47" s="232" t="s">
        <v>75</v>
      </c>
      <c r="B47" s="251">
        <f>273+'기록지(수분량자동측정기)'!D27</f>
        <v>300.8</v>
      </c>
      <c r="C47" s="564" t="s">
        <v>111</v>
      </c>
      <c r="D47" s="564"/>
      <c r="E47" s="267">
        <f>I35</f>
        <v>23.42999999999995</v>
      </c>
      <c r="F47" s="235" t="s">
        <v>70</v>
      </c>
      <c r="G47" s="268">
        <f>'기록지(수분량자동측정기)'!G27</f>
        <v>1.02432733</v>
      </c>
      <c r="H47" s="235" t="s">
        <v>72</v>
      </c>
      <c r="I47" s="251">
        <f>273+'기록지(수분량자동측정기)'!H27</f>
        <v>283.10000000000002</v>
      </c>
      <c r="J47" s="235" t="s">
        <v>73</v>
      </c>
      <c r="K47" s="250">
        <f>Pas</f>
        <v>774</v>
      </c>
      <c r="L47" s="235" t="s">
        <v>70</v>
      </c>
      <c r="M47" s="250">
        <f>'기록지(수분량자동측정기)'!F27</f>
        <v>38.501086931032233</v>
      </c>
      <c r="N47" s="235" t="s">
        <v>72</v>
      </c>
      <c r="O47" s="235">
        <v>13.6</v>
      </c>
      <c r="P47" s="235" t="s">
        <v>74</v>
      </c>
      <c r="Q47" s="537" t="s">
        <v>100</v>
      </c>
      <c r="R47" s="537" t="s">
        <v>283</v>
      </c>
      <c r="S47" s="543" t="s">
        <v>109</v>
      </c>
      <c r="T47" s="535">
        <f>(((B47)*(0.00346*E47+(G47*(K47+(M47/13.6)))/((I47)))/(E48*G48*I48*K48))*16670)</f>
        <v>97.755223056139968</v>
      </c>
      <c r="W47" s="233"/>
    </row>
    <row r="48" spans="1:23" ht="17.25" thickBot="1">
      <c r="A48" s="232"/>
      <c r="B48" s="51"/>
      <c r="C48" s="51"/>
      <c r="D48" s="51"/>
      <c r="E48" s="239">
        <f>Pa+Ps</f>
        <v>773.625</v>
      </c>
      <c r="F48" s="269" t="s">
        <v>100</v>
      </c>
      <c r="G48" s="239">
        <f>'기록지(수분량자동측정기)'!B27</f>
        <v>56</v>
      </c>
      <c r="H48" s="51" t="s">
        <v>100</v>
      </c>
      <c r="I48" s="252">
        <f>Ve</f>
        <v>8.6481336903387689</v>
      </c>
      <c r="J48" s="269" t="s">
        <v>100</v>
      </c>
      <c r="K48" s="252">
        <f>IF(노즐산정!K39=4,노즐산정!D39/10,IF(노즐산정!K39=5,노즐산정!D40/10,IF(노즐산정!K39=6,노즐산정!D41/10,IF(노즐산정!K39=7,노즐산정!D42/10,IF(노즐산정!K39=8,노즐산정!D43/10,IF(노즐산정!K39=9,노즐산정!D44/10,IF(노즐산정!K39=10,노즐산정!D45/10,IF(노즐산정!K39=11,노즐산정!D46/10,IF(노즐산정!K39=12,노즐산정!D47/10,IF(노즐산정!K39=13,노즐산정!D48/10,IF(노즐산정!K39=14,노즐산정!D49/10,IF(노즐산정!K39=15,노즐산정!D50/10,IF(노즐산정!K39=22,노즐산정!D51/10,노즐산정!D55/10)))))))))))))^2*PI()/4</f>
        <v>0.39591921416865367</v>
      </c>
      <c r="L48" s="51"/>
      <c r="M48" s="51"/>
      <c r="N48" s="51"/>
      <c r="O48" s="51"/>
      <c r="P48" s="51"/>
      <c r="Q48" s="537"/>
      <c r="R48" s="537"/>
      <c r="S48" s="543"/>
      <c r="T48" s="536"/>
      <c r="W48" s="233"/>
    </row>
    <row r="49" spans="1:23">
      <c r="A49" s="234"/>
      <c r="G49" s="51"/>
      <c r="I49" s="51"/>
      <c r="W49" s="233"/>
    </row>
    <row r="50" spans="1:23" ht="17.25" thickBot="1">
      <c r="A50" s="244"/>
      <c r="B50" s="245"/>
      <c r="C50" s="245"/>
      <c r="D50" s="245"/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  <c r="U50" s="245"/>
      <c r="V50" s="245"/>
      <c r="W50" s="246"/>
    </row>
    <row r="51" spans="1:23">
      <c r="A51" s="247" t="s">
        <v>284</v>
      </c>
      <c r="B51" s="248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266"/>
    </row>
    <row r="52" spans="1:23">
      <c r="A52" s="234"/>
      <c r="W52" s="233"/>
    </row>
    <row r="53" spans="1:23">
      <c r="A53" s="234"/>
      <c r="W53" s="233"/>
    </row>
    <row r="54" spans="1:23">
      <c r="A54" s="234"/>
      <c r="W54" s="233"/>
    </row>
    <row r="55" spans="1:23">
      <c r="A55" s="234"/>
      <c r="W55" s="233"/>
    </row>
    <row r="56" spans="1:23">
      <c r="A56" s="234"/>
      <c r="W56" s="233"/>
    </row>
    <row r="57" spans="1:23" ht="17.25" thickBot="1">
      <c r="A57" s="234"/>
      <c r="W57" s="233"/>
    </row>
    <row r="58" spans="1:23">
      <c r="A58" s="576" t="s">
        <v>99</v>
      </c>
      <c r="B58" s="556">
        <f>Ve</f>
        <v>8.6481336903387689</v>
      </c>
      <c r="C58" s="537" t="s">
        <v>100</v>
      </c>
      <c r="D58" s="548">
        <f>'기록지(수분량자동측정기)'!G12</f>
        <v>0.93947733161932934</v>
      </c>
      <c r="E58" s="537" t="s">
        <v>100</v>
      </c>
      <c r="F58" s="564">
        <v>273</v>
      </c>
      <c r="G58" s="564"/>
      <c r="H58" s="564"/>
      <c r="I58" s="537" t="s">
        <v>100</v>
      </c>
      <c r="J58" s="250">
        <f>수분량!F44</f>
        <v>774</v>
      </c>
      <c r="K58" s="235" t="s">
        <v>70</v>
      </c>
      <c r="L58" s="251">
        <f>Ps</f>
        <v>-0.375</v>
      </c>
      <c r="M58" s="537" t="s">
        <v>100</v>
      </c>
      <c r="N58" s="537" t="s">
        <v>79</v>
      </c>
      <c r="O58" s="270">
        <f>수분량!I44</f>
        <v>2.8067858193053357</v>
      </c>
      <c r="P58" s="537" t="s">
        <v>80</v>
      </c>
      <c r="Q58" s="537" t="s">
        <v>100</v>
      </c>
      <c r="R58" s="538">
        <v>3600</v>
      </c>
      <c r="S58" s="550" t="s">
        <v>109</v>
      </c>
      <c r="T58" s="539">
        <f>B58*D58*273/(273+H59)*(J58+L58)/760*(1-(O58/100))*3600</f>
        <v>26263.273968190231</v>
      </c>
      <c r="U58" s="540"/>
      <c r="V58" s="271"/>
      <c r="W58" s="233"/>
    </row>
    <row r="59" spans="1:23" ht="17.25" thickBot="1">
      <c r="A59" s="576"/>
      <c r="B59" s="556"/>
      <c r="C59" s="537"/>
      <c r="D59" s="548"/>
      <c r="E59" s="537"/>
      <c r="F59" s="537" t="s">
        <v>69</v>
      </c>
      <c r="G59" s="537"/>
      <c r="H59" s="272">
        <f>'기록지(수분량자동측정기)'!D27</f>
        <v>27.8</v>
      </c>
      <c r="I59" s="537"/>
      <c r="J59" s="551">
        <v>760</v>
      </c>
      <c r="K59" s="551"/>
      <c r="L59" s="551"/>
      <c r="M59" s="537"/>
      <c r="N59" s="537"/>
      <c r="O59" s="51">
        <v>100</v>
      </c>
      <c r="P59" s="537"/>
      <c r="Q59" s="537"/>
      <c r="R59" s="537"/>
      <c r="S59" s="550"/>
      <c r="T59" s="541"/>
      <c r="U59" s="542"/>
      <c r="V59" s="271"/>
      <c r="W59" s="233"/>
    </row>
    <row r="60" spans="1:23" ht="17.25" thickBot="1">
      <c r="A60" s="273"/>
      <c r="B60" s="254"/>
      <c r="C60" s="255"/>
      <c r="D60" s="254"/>
      <c r="E60" s="255"/>
      <c r="F60" s="255"/>
      <c r="G60" s="254"/>
      <c r="H60" s="255"/>
      <c r="I60" s="255"/>
      <c r="J60" s="255"/>
      <c r="K60" s="255"/>
      <c r="L60" s="255"/>
      <c r="M60" s="255"/>
      <c r="N60" s="255"/>
      <c r="O60" s="255"/>
      <c r="P60" s="255"/>
      <c r="Q60" s="255"/>
      <c r="R60" s="274"/>
      <c r="S60" s="275"/>
      <c r="T60" s="245"/>
      <c r="U60" s="245"/>
      <c r="V60" s="245"/>
      <c r="W60" s="233"/>
    </row>
    <row r="61" spans="1:23">
      <c r="A61" s="276"/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248"/>
      <c r="U61" s="248"/>
      <c r="V61" s="248"/>
      <c r="W61" s="266"/>
    </row>
    <row r="62" spans="1:23">
      <c r="A62" s="232" t="s">
        <v>115</v>
      </c>
      <c r="W62" s="233"/>
    </row>
    <row r="63" spans="1:23">
      <c r="A63" s="234"/>
      <c r="W63" s="233"/>
    </row>
    <row r="64" spans="1:23">
      <c r="A64" s="234"/>
      <c r="W64" s="233"/>
    </row>
    <row r="65" spans="1:23">
      <c r="A65" s="234"/>
      <c r="W65" s="233"/>
    </row>
    <row r="66" spans="1:23" ht="17.25" thickBot="1">
      <c r="A66" s="234"/>
      <c r="W66" s="233"/>
    </row>
    <row r="67" spans="1:23" ht="15.75" customHeight="1">
      <c r="A67" s="547" t="s">
        <v>112</v>
      </c>
      <c r="B67" s="237"/>
      <c r="C67" s="277"/>
      <c r="D67" s="278" t="s">
        <v>73</v>
      </c>
      <c r="E67" s="279">
        <f>We</f>
        <v>0</v>
      </c>
      <c r="F67" s="280" t="s">
        <v>76</v>
      </c>
      <c r="G67" s="279">
        <f>Ws</f>
        <v>0</v>
      </c>
      <c r="H67" s="281" t="s">
        <v>80</v>
      </c>
      <c r="I67" s="277"/>
      <c r="J67" s="277"/>
      <c r="K67" s="277"/>
      <c r="L67" s="550" t="s">
        <v>109</v>
      </c>
      <c r="M67" s="550"/>
      <c r="N67" s="550"/>
      <c r="O67" s="543"/>
      <c r="P67" s="539">
        <f>(E67-G67)/(B68*273/(273+E69)*(G68+I68/13.6)/760)</f>
        <v>0</v>
      </c>
      <c r="Q67" s="540"/>
      <c r="W67" s="233"/>
    </row>
    <row r="68" spans="1:23" ht="17.25" thickBot="1">
      <c r="A68" s="547"/>
      <c r="B68" s="556">
        <f>'기록지(수분량자동측정기)'!G27</f>
        <v>1.02432733</v>
      </c>
      <c r="C68" s="537" t="s">
        <v>100</v>
      </c>
      <c r="D68" s="564">
        <v>273</v>
      </c>
      <c r="E68" s="564"/>
      <c r="F68" s="51"/>
      <c r="G68" s="239">
        <f>Pas</f>
        <v>774</v>
      </c>
      <c r="H68" s="235" t="s">
        <v>67</v>
      </c>
      <c r="I68" s="282">
        <f>'기록지(수분량자동측정기)'!F27</f>
        <v>38.501086931032233</v>
      </c>
      <c r="J68" s="241" t="s">
        <v>72</v>
      </c>
      <c r="K68" s="283">
        <v>13.6</v>
      </c>
      <c r="L68" s="550"/>
      <c r="M68" s="550"/>
      <c r="N68" s="550"/>
      <c r="O68" s="543"/>
      <c r="P68" s="541"/>
      <c r="Q68" s="542"/>
      <c r="W68" s="233"/>
    </row>
    <row r="69" spans="1:23">
      <c r="A69" s="547"/>
      <c r="B69" s="556"/>
      <c r="C69" s="537"/>
      <c r="D69" s="51" t="s">
        <v>68</v>
      </c>
      <c r="E69" s="239">
        <f>'기록지(수분량자동측정기)'!H27</f>
        <v>10.1</v>
      </c>
      <c r="F69" s="51"/>
      <c r="G69" s="551">
        <v>760</v>
      </c>
      <c r="H69" s="551"/>
      <c r="I69" s="551"/>
      <c r="J69" s="551"/>
      <c r="K69" s="551"/>
      <c r="W69" s="233"/>
    </row>
    <row r="70" spans="1:23" ht="17.25" thickBot="1">
      <c r="A70" s="253"/>
      <c r="B70" s="254"/>
      <c r="C70" s="255"/>
      <c r="D70" s="255"/>
      <c r="E70" s="254"/>
      <c r="F70" s="255"/>
      <c r="G70" s="255"/>
      <c r="H70" s="255"/>
      <c r="I70" s="255"/>
      <c r="J70" s="255"/>
      <c r="K70" s="25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6"/>
    </row>
    <row r="71" spans="1:23">
      <c r="A71" s="247" t="s">
        <v>218</v>
      </c>
      <c r="B71" s="248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66"/>
    </row>
    <row r="72" spans="1:23">
      <c r="A72" s="234"/>
      <c r="W72" s="233"/>
    </row>
    <row r="73" spans="1:23" ht="17.25" thickBot="1">
      <c r="A73" s="234"/>
      <c r="W73" s="233"/>
    </row>
    <row r="74" spans="1:23">
      <c r="A74" s="234"/>
      <c r="F74" s="537" t="s">
        <v>77</v>
      </c>
      <c r="G74" s="566">
        <f>Ca</f>
        <v>0</v>
      </c>
      <c r="H74" s="537" t="s">
        <v>100</v>
      </c>
      <c r="I74" s="237">
        <v>21</v>
      </c>
      <c r="J74" s="235" t="s">
        <v>76</v>
      </c>
      <c r="K74" s="279" t="str">
        <f>Os</f>
        <v>-</v>
      </c>
      <c r="L74" s="550" t="s">
        <v>109</v>
      </c>
      <c r="M74" s="570">
        <f>Ca*((21-4)/(21-5))</f>
        <v>0</v>
      </c>
      <c r="N74" s="571"/>
      <c r="O74" s="572"/>
      <c r="W74" s="233"/>
    </row>
    <row r="75" spans="1:23" ht="18" thickBot="1">
      <c r="A75" s="234"/>
      <c r="D75" s="50"/>
      <c r="E75" s="50"/>
      <c r="F75" s="537"/>
      <c r="G75" s="566"/>
      <c r="H75" s="537"/>
      <c r="I75" s="38">
        <v>21</v>
      </c>
      <c r="J75" s="51" t="s">
        <v>76</v>
      </c>
      <c r="K75" s="243">
        <f>Oa</f>
        <v>20.503333333333334</v>
      </c>
      <c r="L75" s="550"/>
      <c r="M75" s="573"/>
      <c r="N75" s="574"/>
      <c r="O75" s="575"/>
      <c r="R75" s="284"/>
      <c r="T75" s="51"/>
      <c r="U75" s="270"/>
      <c r="V75" s="270"/>
      <c r="W75" s="233"/>
    </row>
    <row r="76" spans="1:23" ht="17.25" thickBot="1">
      <c r="A76" s="232" t="s">
        <v>217</v>
      </c>
      <c r="W76" s="233"/>
    </row>
    <row r="77" spans="1:23">
      <c r="A77" s="234"/>
      <c r="F77" s="537" t="s">
        <v>78</v>
      </c>
      <c r="G77" s="566">
        <f>Qa</f>
        <v>26263.273968190231</v>
      </c>
      <c r="H77" s="537" t="s">
        <v>102</v>
      </c>
      <c r="I77" s="237">
        <v>21</v>
      </c>
      <c r="J77" s="235" t="s">
        <v>76</v>
      </c>
      <c r="K77" s="279" t="str">
        <f>Os</f>
        <v>-</v>
      </c>
      <c r="L77" s="550" t="s">
        <v>109</v>
      </c>
      <c r="M77" s="570" t="e">
        <f>Qa/((21-K77)/(21-K78))</f>
        <v>#VALUE!</v>
      </c>
      <c r="N77" s="571"/>
      <c r="O77" s="572"/>
      <c r="W77" s="233"/>
    </row>
    <row r="78" spans="1:23" ht="17.25" thickBot="1">
      <c r="A78" s="234"/>
      <c r="F78" s="537"/>
      <c r="G78" s="566"/>
      <c r="H78" s="537"/>
      <c r="I78" s="38">
        <v>21</v>
      </c>
      <c r="J78" s="51" t="s">
        <v>76</v>
      </c>
      <c r="K78" s="239">
        <f>Oa</f>
        <v>20.503333333333334</v>
      </c>
      <c r="L78" s="550"/>
      <c r="M78" s="573"/>
      <c r="N78" s="574"/>
      <c r="O78" s="575"/>
      <c r="R78" s="284"/>
      <c r="T78" s="51"/>
      <c r="U78" s="270"/>
      <c r="V78" s="270"/>
      <c r="W78" s="233"/>
    </row>
    <row r="79" spans="1:23">
      <c r="A79" s="234"/>
      <c r="R79" s="285"/>
      <c r="S79" s="285"/>
      <c r="T79" s="285"/>
      <c r="W79" s="233"/>
    </row>
    <row r="80" spans="1:23">
      <c r="A80" s="234"/>
      <c r="W80" s="233"/>
    </row>
    <row r="81" spans="1:23">
      <c r="A81" s="567" t="s">
        <v>221</v>
      </c>
      <c r="B81" s="568"/>
      <c r="C81" s="568"/>
      <c r="D81" s="568"/>
      <c r="E81" s="568"/>
      <c r="F81" s="568"/>
      <c r="G81" s="568"/>
      <c r="H81" s="568"/>
      <c r="I81" s="568"/>
      <c r="J81" s="568"/>
      <c r="K81" s="568"/>
      <c r="L81" s="568"/>
      <c r="M81" s="568"/>
      <c r="N81" s="568"/>
      <c r="O81" s="568"/>
      <c r="P81" s="568"/>
      <c r="Q81" s="568"/>
      <c r="R81" s="568"/>
      <c r="S81" s="568"/>
      <c r="T81" s="568"/>
      <c r="U81" s="568"/>
      <c r="V81" s="568"/>
      <c r="W81" s="569"/>
    </row>
  </sheetData>
  <mergeCells count="73">
    <mergeCell ref="A81:W81"/>
    <mergeCell ref="G77:G78"/>
    <mergeCell ref="H77:H78"/>
    <mergeCell ref="I58:I59"/>
    <mergeCell ref="A67:A69"/>
    <mergeCell ref="M77:O78"/>
    <mergeCell ref="L74:L75"/>
    <mergeCell ref="L77:L78"/>
    <mergeCell ref="F74:F75"/>
    <mergeCell ref="D68:E68"/>
    <mergeCell ref="B68:B69"/>
    <mergeCell ref="F77:F78"/>
    <mergeCell ref="A58:A59"/>
    <mergeCell ref="C68:C69"/>
    <mergeCell ref="M74:O75"/>
    <mergeCell ref="H74:H75"/>
    <mergeCell ref="G74:G75"/>
    <mergeCell ref="S58:S59"/>
    <mergeCell ref="P67:Q68"/>
    <mergeCell ref="G69:K69"/>
    <mergeCell ref="J59:L59"/>
    <mergeCell ref="M58:M59"/>
    <mergeCell ref="F58:H58"/>
    <mergeCell ref="F59:G59"/>
    <mergeCell ref="L67:O68"/>
    <mergeCell ref="E58:E59"/>
    <mergeCell ref="C11:C12"/>
    <mergeCell ref="D11:E11"/>
    <mergeCell ref="B19:B20"/>
    <mergeCell ref="C58:C59"/>
    <mergeCell ref="D58:D59"/>
    <mergeCell ref="C47:D47"/>
    <mergeCell ref="D19:E19"/>
    <mergeCell ref="B27:B28"/>
    <mergeCell ref="C27:C28"/>
    <mergeCell ref="B58:B59"/>
    <mergeCell ref="O10:O11"/>
    <mergeCell ref="J19:J20"/>
    <mergeCell ref="K19:K20"/>
    <mergeCell ref="P10:Q11"/>
    <mergeCell ref="N10:N11"/>
    <mergeCell ref="M10:M11"/>
    <mergeCell ref="H9:H10"/>
    <mergeCell ref="H35:H36"/>
    <mergeCell ref="G20:I20"/>
    <mergeCell ref="G27:G28"/>
    <mergeCell ref="C19:C20"/>
    <mergeCell ref="F35:F36"/>
    <mergeCell ref="G12:I12"/>
    <mergeCell ref="F11:F12"/>
    <mergeCell ref="A35:C36"/>
    <mergeCell ref="G35:G36"/>
    <mergeCell ref="B11:B12"/>
    <mergeCell ref="D28:E28"/>
    <mergeCell ref="F19:F20"/>
    <mergeCell ref="F27:F28"/>
    <mergeCell ref="D35:E36"/>
    <mergeCell ref="A1:W3"/>
    <mergeCell ref="T47:T48"/>
    <mergeCell ref="N58:N59"/>
    <mergeCell ref="P58:P59"/>
    <mergeCell ref="Q58:Q59"/>
    <mergeCell ref="R58:R59"/>
    <mergeCell ref="T58:U59"/>
    <mergeCell ref="R47:R48"/>
    <mergeCell ref="S47:S48"/>
    <mergeCell ref="I35:I36"/>
    <mergeCell ref="Q47:Q48"/>
    <mergeCell ref="J11:J12"/>
    <mergeCell ref="A27:A28"/>
    <mergeCell ref="L11:L12"/>
    <mergeCell ref="A10:A11"/>
    <mergeCell ref="A19:A20"/>
  </mergeCells>
  <phoneticPr fontId="9" type="noConversion"/>
  <pageMargins left="0.70866141732283461" right="0.70866141732283461" top="0.74803149606299213" bottom="0.74803149606299213" header="0.31496062992125984" footer="0.31496062992125984"/>
  <pageSetup paperSize="9" scale="39" orientation="portrait" r:id="rId1"/>
  <rowBreaks count="1" manualBreakCount="1">
    <brk id="37" max="22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152"/>
  <sheetViews>
    <sheetView zoomScale="85" zoomScaleNormal="85" workbookViewId="0">
      <selection activeCell="J21" sqref="J21"/>
    </sheetView>
  </sheetViews>
  <sheetFormatPr defaultColWidth="8.88671875" defaultRowHeight="13.5"/>
  <cols>
    <col min="1" max="2" width="8.88671875" style="2"/>
    <col min="3" max="3" width="6.88671875" style="2" customWidth="1"/>
    <col min="4" max="4" width="11.109375" style="2" customWidth="1"/>
    <col min="5" max="5" width="4.33203125" style="2" customWidth="1"/>
    <col min="6" max="6" width="16.88671875" style="2" customWidth="1"/>
    <col min="7" max="7" width="8.88671875" style="2"/>
    <col min="8" max="8" width="7.6640625" style="2" customWidth="1"/>
    <col min="9" max="16384" width="8.88671875" style="2"/>
  </cols>
  <sheetData>
    <row r="1" spans="1:9" ht="30.75" customHeight="1">
      <c r="A1" s="579" t="s">
        <v>48</v>
      </c>
      <c r="B1" s="579"/>
      <c r="C1" s="579"/>
      <c r="D1" s="579"/>
      <c r="E1" s="579"/>
      <c r="F1" s="579"/>
      <c r="G1" s="579"/>
      <c r="H1" s="579"/>
      <c r="I1" s="1"/>
    </row>
    <row r="2" spans="1:9" ht="21" customHeight="1">
      <c r="A2" s="1"/>
      <c r="B2" s="1"/>
      <c r="C2" s="1"/>
      <c r="D2" s="1"/>
      <c r="E2" s="1"/>
      <c r="F2" s="1"/>
      <c r="G2" s="578">
        <f ca="1">TODAY()</f>
        <v>46087</v>
      </c>
      <c r="H2" s="578"/>
      <c r="I2" s="1"/>
    </row>
    <row r="3" spans="1:9" ht="24.95" customHeight="1"/>
    <row r="4" spans="1:9" ht="24.95" customHeight="1">
      <c r="A4" s="3" t="s">
        <v>49</v>
      </c>
    </row>
    <row r="5" spans="1:9" ht="24.95" customHeight="1">
      <c r="A5" s="13" t="s">
        <v>123</v>
      </c>
      <c r="B5" s="4"/>
      <c r="C5" s="4"/>
      <c r="D5" s="4"/>
      <c r="E5" s="4"/>
      <c r="F5" s="4"/>
      <c r="G5" s="4"/>
      <c r="H5" s="4"/>
    </row>
    <row r="6" spans="1:9" ht="24.95" customHeight="1">
      <c r="A6" s="14" t="s">
        <v>124</v>
      </c>
      <c r="B6" s="5"/>
      <c r="C6" s="5"/>
      <c r="D6" s="5"/>
      <c r="E6" s="14" t="s">
        <v>125</v>
      </c>
      <c r="F6" s="5"/>
      <c r="G6" s="5"/>
      <c r="H6" s="5"/>
    </row>
    <row r="7" spans="1:9" ht="24.95" customHeight="1">
      <c r="A7" s="5" t="s">
        <v>50</v>
      </c>
      <c r="B7" s="5"/>
      <c r="C7" s="5">
        <v>480</v>
      </c>
      <c r="D7" s="5" t="s">
        <v>51</v>
      </c>
      <c r="E7" s="5" t="s">
        <v>52</v>
      </c>
      <c r="F7" s="5"/>
      <c r="G7" s="5">
        <v>320</v>
      </c>
      <c r="H7" s="5" t="s">
        <v>51</v>
      </c>
    </row>
    <row r="8" spans="1:9" ht="24.95" customHeight="1"/>
    <row r="9" spans="1:9" ht="24.95" customHeight="1">
      <c r="A9" s="3" t="s">
        <v>53</v>
      </c>
    </row>
    <row r="10" spans="1:9" ht="24.95" customHeight="1">
      <c r="A10" s="4" t="s">
        <v>54</v>
      </c>
      <c r="B10" s="4"/>
      <c r="C10" s="7">
        <f>Oa</f>
        <v>20.503333333333334</v>
      </c>
      <c r="D10" s="4" t="s">
        <v>32</v>
      </c>
      <c r="E10" s="4" t="s">
        <v>55</v>
      </c>
      <c r="F10" s="4"/>
      <c r="G10" s="4" t="str">
        <f>Os</f>
        <v>-</v>
      </c>
      <c r="H10" s="4" t="s">
        <v>32</v>
      </c>
    </row>
    <row r="11" spans="1:9" ht="24.95" customHeight="1">
      <c r="A11" s="5" t="s">
        <v>56</v>
      </c>
      <c r="B11" s="5"/>
      <c r="C11" s="6">
        <f>Xw</f>
        <v>2.8067858193053357</v>
      </c>
      <c r="D11" s="5" t="s">
        <v>32</v>
      </c>
      <c r="E11" s="5" t="s">
        <v>57</v>
      </c>
      <c r="F11" s="5"/>
      <c r="G11" s="6">
        <f>I</f>
        <v>97.755223056139968</v>
      </c>
      <c r="H11" s="5" t="s">
        <v>32</v>
      </c>
    </row>
    <row r="12" spans="1:9" ht="24.95" customHeight="1">
      <c r="A12" s="5" t="s">
        <v>58</v>
      </c>
      <c r="B12" s="5"/>
      <c r="C12" s="6">
        <f>Ca</f>
        <v>0</v>
      </c>
      <c r="D12" s="5" t="s">
        <v>59</v>
      </c>
      <c r="E12" s="5" t="s">
        <v>60</v>
      </c>
      <c r="F12" s="5"/>
      <c r="G12" s="6">
        <f>DC</f>
        <v>0</v>
      </c>
      <c r="H12" s="5" t="s">
        <v>59</v>
      </c>
    </row>
    <row r="13" spans="1:9" ht="24.95" customHeight="1">
      <c r="A13" s="5" t="s">
        <v>61</v>
      </c>
      <c r="B13" s="5"/>
      <c r="C13" s="5"/>
      <c r="D13" s="5"/>
      <c r="E13" s="4"/>
      <c r="F13" s="4"/>
      <c r="G13" s="7" t="e">
        <f>Q</f>
        <v>#VALUE!</v>
      </c>
      <c r="H13" s="4" t="s">
        <v>62</v>
      </c>
    </row>
    <row r="14" spans="1:9" ht="24.95" customHeight="1">
      <c r="A14" s="5" t="s">
        <v>63</v>
      </c>
      <c r="B14" s="5"/>
      <c r="C14" s="5"/>
      <c r="D14" s="5"/>
      <c r="E14" s="5"/>
      <c r="F14" s="5"/>
      <c r="G14" s="6">
        <f>Qa*C7/G7</f>
        <v>39394.910952285347</v>
      </c>
      <c r="H14" s="5" t="s">
        <v>62</v>
      </c>
    </row>
    <row r="15" spans="1:9" ht="24.95" customHeight="1"/>
    <row r="16" spans="1:9" ht="24.95" customHeight="1">
      <c r="A16" s="3" t="s">
        <v>64</v>
      </c>
    </row>
    <row r="17" spans="1:8" ht="24.95" customHeight="1">
      <c r="A17" s="4"/>
      <c r="B17" s="4"/>
      <c r="C17" s="4"/>
      <c r="D17" s="4"/>
      <c r="E17" s="4"/>
      <c r="F17" s="4"/>
      <c r="G17" s="4"/>
      <c r="H17" s="4"/>
    </row>
    <row r="18" spans="1:8" ht="24.95" customHeight="1">
      <c r="A18" s="5"/>
      <c r="B18" s="5"/>
      <c r="C18" s="5"/>
      <c r="D18" s="5"/>
      <c r="E18" s="5"/>
      <c r="F18" s="5"/>
      <c r="G18" s="5"/>
      <c r="H18" s="5"/>
    </row>
    <row r="19" spans="1:8" ht="24.95" customHeight="1">
      <c r="A19" s="5"/>
      <c r="B19" s="5"/>
      <c r="C19" s="5"/>
      <c r="D19" s="5"/>
      <c r="E19" s="5"/>
      <c r="F19" s="5"/>
      <c r="G19" s="5"/>
      <c r="H19" s="5"/>
    </row>
    <row r="20" spans="1:8" ht="24.95" customHeight="1">
      <c r="A20" s="4"/>
      <c r="B20" s="4"/>
      <c r="C20" s="4"/>
      <c r="D20" s="4"/>
      <c r="E20" s="4"/>
      <c r="F20" s="4"/>
      <c r="G20" s="4"/>
      <c r="H20" s="4"/>
    </row>
    <row r="21" spans="1:8" ht="24.95" customHeight="1">
      <c r="A21" s="5"/>
      <c r="B21" s="5"/>
      <c r="C21" s="5"/>
      <c r="D21" s="5"/>
      <c r="E21" s="5"/>
      <c r="F21" s="5"/>
      <c r="G21" s="5"/>
      <c r="H21" s="5"/>
    </row>
    <row r="22" spans="1:8" ht="24.95" customHeight="1">
      <c r="A22" s="5"/>
      <c r="B22" s="5"/>
      <c r="C22" s="5"/>
      <c r="D22" s="5"/>
      <c r="E22" s="5"/>
      <c r="F22" s="5"/>
      <c r="G22" s="5"/>
      <c r="H22" s="5"/>
    </row>
    <row r="23" spans="1:8" ht="24.95" customHeight="1"/>
    <row r="24" spans="1:8" ht="24.95" customHeight="1"/>
    <row r="25" spans="1:8" ht="24.95" customHeight="1">
      <c r="A25" s="8" t="s">
        <v>120</v>
      </c>
      <c r="F25" s="8" t="s">
        <v>122</v>
      </c>
      <c r="G25" s="8" t="s">
        <v>222</v>
      </c>
    </row>
    <row r="26" spans="1:8" ht="24.95" customHeight="1">
      <c r="A26" s="8" t="s">
        <v>121</v>
      </c>
      <c r="F26" s="8" t="s">
        <v>122</v>
      </c>
      <c r="G26" s="8" t="s">
        <v>222</v>
      </c>
    </row>
    <row r="27" spans="1:8" ht="24.95" customHeight="1">
      <c r="A27" s="577" t="s">
        <v>220</v>
      </c>
      <c r="B27" s="577"/>
      <c r="C27" s="577"/>
      <c r="D27" s="577"/>
      <c r="E27" s="577"/>
      <c r="F27" s="577"/>
      <c r="G27" s="577"/>
      <c r="H27" s="577"/>
    </row>
    <row r="28" spans="1:8" ht="24.95" customHeight="1"/>
    <row r="29" spans="1:8" ht="24.95" customHeight="1"/>
    <row r="30" spans="1:8" ht="24.95" customHeight="1"/>
    <row r="31" spans="1:8" ht="24.95" customHeight="1"/>
    <row r="32" spans="1:8" ht="24.95" customHeight="1"/>
    <row r="33" ht="24.95" customHeight="1"/>
    <row r="34" ht="24.95" customHeight="1"/>
    <row r="35" ht="24.95" customHeight="1"/>
    <row r="36" ht="24.95" customHeight="1"/>
    <row r="37" ht="24.95" customHeight="1"/>
    <row r="38" ht="24.95" customHeight="1"/>
    <row r="39" ht="24.95" customHeight="1"/>
    <row r="40" ht="24.95" customHeight="1"/>
    <row r="41" ht="24.95" customHeight="1"/>
    <row r="42" ht="24.95" customHeight="1"/>
    <row r="43" ht="24.95" customHeight="1"/>
    <row r="44" ht="24.95" customHeight="1"/>
    <row r="45" ht="24.95" customHeight="1"/>
    <row r="46" ht="24.95" customHeight="1"/>
    <row r="47" ht="24.95" customHeight="1"/>
    <row r="48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  <row r="80" ht="24.95" customHeight="1"/>
    <row r="81" ht="24.95" customHeight="1"/>
    <row r="82" ht="24.95" customHeight="1"/>
    <row r="83" ht="24.95" customHeight="1"/>
    <row r="84" ht="24.95" customHeight="1"/>
    <row r="85" ht="24.95" customHeight="1"/>
    <row r="86" ht="24.95" customHeight="1"/>
    <row r="87" ht="24.95" customHeight="1"/>
    <row r="88" ht="24.95" customHeight="1"/>
    <row r="89" ht="24.95" customHeight="1"/>
    <row r="90" ht="24.95" customHeight="1"/>
    <row r="91" ht="24.95" customHeight="1"/>
    <row r="92" ht="24.95" customHeight="1"/>
    <row r="93" ht="24.95" customHeight="1"/>
    <row r="94" ht="24.95" customHeight="1"/>
    <row r="95" ht="24.95" customHeight="1"/>
    <row r="96" ht="24.95" customHeight="1"/>
    <row r="97" ht="24.95" customHeight="1"/>
    <row r="98" ht="24.95" customHeight="1"/>
    <row r="99" ht="24.95" customHeight="1"/>
    <row r="100" ht="24.95" customHeight="1"/>
    <row r="101" ht="24.95" customHeight="1"/>
    <row r="102" ht="24.95" customHeight="1"/>
    <row r="103" ht="24.95" customHeight="1"/>
    <row r="104" ht="24.95" customHeight="1"/>
    <row r="105" ht="24.95" customHeight="1"/>
    <row r="106" ht="24.95" customHeight="1"/>
    <row r="107" ht="24.95" customHeight="1"/>
    <row r="108" ht="24.95" customHeight="1"/>
    <row r="109" ht="24.95" customHeight="1"/>
    <row r="110" ht="24.95" customHeight="1"/>
    <row r="111" ht="24.95" customHeight="1"/>
    <row r="112" ht="24.95" customHeight="1"/>
    <row r="113" ht="24.95" customHeight="1"/>
    <row r="114" ht="24.95" customHeight="1"/>
    <row r="115" ht="24.95" customHeight="1"/>
    <row r="116" ht="24.95" customHeight="1"/>
    <row r="117" ht="24.95" customHeight="1"/>
    <row r="118" ht="24.95" customHeight="1"/>
    <row r="119" ht="24.95" customHeight="1"/>
    <row r="120" ht="24.95" customHeight="1"/>
    <row r="121" ht="24.95" customHeight="1"/>
    <row r="122" ht="24.95" customHeight="1"/>
    <row r="123" ht="24.95" customHeight="1"/>
    <row r="124" ht="24.95" customHeight="1"/>
    <row r="125" ht="24.95" customHeight="1"/>
    <row r="126" ht="24.95" customHeight="1"/>
    <row r="127" ht="24.95" customHeight="1"/>
    <row r="128" ht="24.95" customHeight="1"/>
    <row r="129" ht="24.95" customHeight="1"/>
    <row r="130" ht="24.95" customHeight="1"/>
    <row r="131" ht="24.95" customHeight="1"/>
    <row r="132" ht="24.95" customHeight="1"/>
    <row r="133" ht="24.95" customHeight="1"/>
    <row r="134" ht="24.95" customHeight="1"/>
    <row r="135" ht="24.95" customHeight="1"/>
    <row r="136" ht="24.95" customHeight="1"/>
    <row r="137" ht="24.95" customHeight="1"/>
    <row r="138" ht="24.95" customHeight="1"/>
    <row r="139" ht="24.95" customHeight="1"/>
    <row r="140" ht="24.95" customHeight="1"/>
    <row r="141" ht="24.95" customHeight="1"/>
    <row r="142" ht="24.95" customHeight="1"/>
    <row r="143" ht="24.95" customHeight="1"/>
    <row r="144" ht="24.95" customHeight="1"/>
    <row r="145" ht="24.95" customHeight="1"/>
    <row r="146" ht="24.95" customHeight="1"/>
    <row r="147" ht="24.95" customHeight="1"/>
    <row r="148" ht="24.95" customHeight="1"/>
    <row r="149" ht="24.95" customHeight="1"/>
    <row r="150" ht="24.95" customHeight="1"/>
    <row r="151" ht="24.95" customHeight="1"/>
    <row r="152" ht="24.95" customHeight="1"/>
  </sheetData>
  <mergeCells count="3">
    <mergeCell ref="A27:H27"/>
    <mergeCell ref="G2:H2"/>
    <mergeCell ref="A1:H1"/>
  </mergeCells>
  <phoneticPr fontId="3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254E-7731-4CE8-90AC-840C9A4AE837}">
  <dimension ref="A1"/>
  <sheetViews>
    <sheetView workbookViewId="0">
      <selection activeCell="E1" sqref="A1:E1"/>
    </sheetView>
  </sheetViews>
  <sheetFormatPr defaultRowHeight="13.5"/>
  <cols>
    <col min="1" max="5" width="29.6640625" customWidth="1"/>
  </cols>
  <sheetData>
    <row r="1" ht="141.75" customHeight="1"/>
  </sheetData>
  <sheetProtection algorithmName="SHA-512" hashValue="fm5ebrEttpYxGklY0Y2lv4xCq65N6MsynHeu44WbHkrz1OtnyiqHsdkp1SC3eztyQR5ZTXCqh7FjaBgSnchnSA==" saltValue="TtKcEo43fLYjpOJSuOZbjg==" spinCount="100000" sheet="1" objects="1" scenarios="1"/>
  <phoneticPr fontId="3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36</vt:i4>
      </vt:variant>
    </vt:vector>
  </HeadingPairs>
  <TitlesOfParts>
    <vt:vector size="46" baseType="lpstr">
      <vt:lpstr>표지</vt:lpstr>
      <vt:lpstr>누출시험</vt:lpstr>
      <vt:lpstr>수분량</vt:lpstr>
      <vt:lpstr>시료측정위치</vt:lpstr>
      <vt:lpstr>연소가스자료</vt:lpstr>
      <vt:lpstr>노즐산정</vt:lpstr>
      <vt:lpstr>기록지(수분량자동측정기)</vt:lpstr>
      <vt:lpstr>계산식</vt:lpstr>
      <vt:lpstr>먼지측정결과보고서</vt:lpstr>
      <vt:lpstr>지점 사진</vt:lpstr>
      <vt:lpstr>△Hm</vt:lpstr>
      <vt:lpstr>A</vt:lpstr>
      <vt:lpstr>Ca</vt:lpstr>
      <vt:lpstr>COO</vt:lpstr>
      <vt:lpstr>Cp</vt:lpstr>
      <vt:lpstr>D</vt:lpstr>
      <vt:lpstr>DC</vt:lpstr>
      <vt:lpstr>Dn</vt:lpstr>
      <vt:lpstr>I</vt:lpstr>
      <vt:lpstr>m</vt:lpstr>
      <vt:lpstr>Oa</vt:lpstr>
      <vt:lpstr>Os</vt:lpstr>
      <vt:lpstr>Pa</vt:lpstr>
      <vt:lpstr>Pas</vt:lpstr>
      <vt:lpstr>계산식!Print_Area</vt:lpstr>
      <vt:lpstr>'기록지(수분량자동측정기)'!Print_Area</vt:lpstr>
      <vt:lpstr>노즐산정!Print_Area</vt:lpstr>
      <vt:lpstr>누출시험!Print_Area</vt:lpstr>
      <vt:lpstr>시료측정위치!Print_Area</vt:lpstr>
      <vt:lpstr>연소가스자료!Print_Area</vt:lpstr>
      <vt:lpstr>표지!Print_Area</vt:lpstr>
      <vt:lpstr>연소가스자료!Print_Titles</vt:lpstr>
      <vt:lpstr>Ps</vt:lpstr>
      <vt:lpstr>Q</vt:lpstr>
      <vt:lpstr>Qa</vt:lpstr>
      <vt:lpstr>rr</vt:lpstr>
      <vt:lpstr>Ve</vt:lpstr>
      <vt:lpstr>Vic</vt:lpstr>
      <vt:lpstr>We</vt:lpstr>
      <vt:lpstr>Ws</vt:lpstr>
      <vt:lpstr>Xw</vt:lpstr>
      <vt:lpstr>지점1</vt:lpstr>
      <vt:lpstr>지점2</vt:lpstr>
      <vt:lpstr>지점3</vt:lpstr>
      <vt:lpstr>지점4</vt:lpstr>
      <vt:lpstr>지점5</vt:lpstr>
    </vt:vector>
  </TitlesOfParts>
  <Company>경기도보건환경연구원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lsc09</dc:creator>
  <cp:lastModifiedBy>업무망</cp:lastModifiedBy>
  <cp:lastPrinted>2025-11-11T07:33:37Z</cp:lastPrinted>
  <dcterms:created xsi:type="dcterms:W3CDTF">2006-06-21T07:36:58Z</dcterms:created>
  <dcterms:modified xsi:type="dcterms:W3CDTF">2026-03-06T00:03:31Z</dcterms:modified>
</cp:coreProperties>
</file>