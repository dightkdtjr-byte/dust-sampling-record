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업무망\Desktop\시료채취기록부,시험성적서\2026-29. 지에스파워(주) 부천열병합발전처 #A-30\"/>
    </mc:Choice>
  </mc:AlternateContent>
  <xr:revisionPtr revIDLastSave="0" documentId="13_ncr:1_{B9250A83-4D35-4EFD-AEE1-640EDE000299}" xr6:coauthVersionLast="36" xr6:coauthVersionMax="47" xr10:uidLastSave="{00000000-0000-0000-0000-000000000000}"/>
  <bookViews>
    <workbookView xWindow="0" yWindow="0" windowWidth="11715" windowHeight="8040" xr2:uid="{7CB6B056-B9C2-4B75-8049-F2C493D2F3A2}"/>
  </bookViews>
  <sheets>
    <sheet name="시료채취 작성" sheetId="7" r:id="rId1"/>
    <sheet name="20261027" sheetId="6" r:id="rId2"/>
    <sheet name="20261028" sheetId="9" r:id="rId3"/>
  </sheets>
  <definedNames>
    <definedName name="_xlnm.Print_Area" localSheetId="1">'20261027'!$A$2:$K$59</definedName>
    <definedName name="_xlnm.Print_Area" localSheetId="2">'20261028'!$A$2:$K$59</definedName>
    <definedName name="_xlnm.Print_Area" localSheetId="0">'시료채취 작성'!$B$2:$N$61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9" l="1"/>
  <c r="N16" i="6"/>
  <c r="B16" i="6"/>
  <c r="C16" i="6"/>
  <c r="D16" i="6"/>
  <c r="E16" i="6"/>
  <c r="F16" i="6"/>
  <c r="G16" i="6"/>
  <c r="H16" i="6"/>
  <c r="I16" i="6"/>
  <c r="J16" i="6"/>
  <c r="K16" i="6"/>
  <c r="I9" i="9" l="1"/>
  <c r="G9" i="9"/>
  <c r="E9" i="9"/>
  <c r="C9" i="9"/>
  <c r="B9" i="9"/>
  <c r="A9" i="9"/>
  <c r="K16" i="9"/>
  <c r="H16" i="9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43" i="7"/>
  <c r="C60" i="7" l="1"/>
  <c r="C23" i="9" l="1"/>
  <c r="E16" i="9"/>
  <c r="F18" i="7"/>
  <c r="F17" i="7"/>
  <c r="J7" i="9"/>
  <c r="C47" i="9" s="1"/>
  <c r="H58" i="9"/>
  <c r="F58" i="9"/>
  <c r="D58" i="9"/>
  <c r="H57" i="9"/>
  <c r="F57" i="9"/>
  <c r="H7" i="9"/>
  <c r="D7" i="9"/>
  <c r="B7" i="9"/>
  <c r="F16" i="9" l="1"/>
  <c r="C22" i="9"/>
  <c r="G16" i="9"/>
  <c r="C21" i="9"/>
  <c r="I17" i="9"/>
  <c r="C20" i="9"/>
  <c r="I16" i="9"/>
  <c r="C19" i="9"/>
  <c r="J16" i="9"/>
  <c r="C18" i="9"/>
  <c r="C25" i="9"/>
  <c r="C17" i="9"/>
  <c r="D16" i="9"/>
  <c r="C24" i="9"/>
  <c r="C16" i="9"/>
  <c r="B21" i="9"/>
  <c r="N21" i="9" s="1"/>
  <c r="B20" i="9"/>
  <c r="B22" i="9"/>
  <c r="B19" i="9"/>
  <c r="B18" i="9"/>
  <c r="B17" i="9"/>
  <c r="N17" i="9" s="1"/>
  <c r="B24" i="9"/>
  <c r="B16" i="9"/>
  <c r="B23" i="9"/>
  <c r="N23" i="9" s="1"/>
  <c r="E17" i="9"/>
  <c r="J21" i="9"/>
  <c r="G32" i="9"/>
  <c r="E55" i="9"/>
  <c r="F30" i="9"/>
  <c r="F17" i="9"/>
  <c r="G34" i="9"/>
  <c r="B12" i="9"/>
  <c r="N12" i="9" s="1"/>
  <c r="E23" i="9"/>
  <c r="B13" i="9"/>
  <c r="D18" i="9"/>
  <c r="F24" i="9"/>
  <c r="K38" i="9"/>
  <c r="H22" i="9"/>
  <c r="G17" i="9"/>
  <c r="F37" i="9"/>
  <c r="C13" i="9"/>
  <c r="K18" i="9"/>
  <c r="E25" i="9"/>
  <c r="B42" i="9"/>
  <c r="N42" i="9" s="1"/>
  <c r="B51" i="9"/>
  <c r="N51" i="9" s="1"/>
  <c r="D13" i="9"/>
  <c r="I19" i="9"/>
  <c r="F26" i="9"/>
  <c r="D44" i="9"/>
  <c r="D54" i="9"/>
  <c r="B14" i="9"/>
  <c r="E20" i="9"/>
  <c r="F28" i="9"/>
  <c r="E18" i="9"/>
  <c r="J19" i="9"/>
  <c r="D21" i="9"/>
  <c r="I22" i="9"/>
  <c r="G24" i="9"/>
  <c r="G26" i="9"/>
  <c r="G28" i="9"/>
  <c r="G30" i="9"/>
  <c r="H34" i="9"/>
  <c r="B36" i="9"/>
  <c r="N36" i="9" s="1"/>
  <c r="G37" i="9"/>
  <c r="C42" i="9"/>
  <c r="B45" i="9"/>
  <c r="N45" i="9" s="1"/>
  <c r="D47" i="9"/>
  <c r="C51" i="9"/>
  <c r="F55" i="9"/>
  <c r="J18" i="9"/>
  <c r="D20" i="9"/>
  <c r="I21" i="9"/>
  <c r="D23" i="9"/>
  <c r="D25" i="9"/>
  <c r="D27" i="9"/>
  <c r="D29" i="9"/>
  <c r="E31" i="9"/>
  <c r="E33" i="9"/>
  <c r="B35" i="9"/>
  <c r="N35" i="9" s="1"/>
  <c r="G36" i="9"/>
  <c r="B40" i="9"/>
  <c r="N40" i="9" s="1"/>
  <c r="D42" i="9"/>
  <c r="C45" i="9"/>
  <c r="B48" i="9"/>
  <c r="N48" i="9" s="1"/>
  <c r="B52" i="9"/>
  <c r="E27" i="9"/>
  <c r="E29" i="9"/>
  <c r="F33" i="9"/>
  <c r="C35" i="9"/>
  <c r="H36" i="9"/>
  <c r="B38" i="9"/>
  <c r="N38" i="9" s="1"/>
  <c r="C40" i="9"/>
  <c r="B43" i="9"/>
  <c r="N43" i="9" s="1"/>
  <c r="D45" i="9"/>
  <c r="C48" i="9"/>
  <c r="C52" i="9"/>
  <c r="F31" i="9"/>
  <c r="C12" i="9"/>
  <c r="E14" i="9"/>
  <c r="F20" i="9"/>
  <c r="K21" i="9"/>
  <c r="F23" i="9"/>
  <c r="F25" i="9"/>
  <c r="F27" i="9"/>
  <c r="F29" i="9"/>
  <c r="G31" i="9"/>
  <c r="G33" i="9"/>
  <c r="D35" i="9"/>
  <c r="I36" i="9"/>
  <c r="C38" i="9"/>
  <c r="D40" i="9"/>
  <c r="C43" i="9"/>
  <c r="B46" i="9"/>
  <c r="N46" i="9" s="1"/>
  <c r="B49" i="9"/>
  <c r="N49" i="9" s="1"/>
  <c r="C53" i="9"/>
  <c r="D12" i="9"/>
  <c r="J17" i="9"/>
  <c r="N19" i="9"/>
  <c r="G20" i="9"/>
  <c r="G23" i="9"/>
  <c r="G25" i="9"/>
  <c r="G27" i="9"/>
  <c r="G29" i="9"/>
  <c r="H33" i="9"/>
  <c r="E35" i="9"/>
  <c r="J36" i="9"/>
  <c r="D38" i="9"/>
  <c r="B41" i="9"/>
  <c r="N41" i="9" s="1"/>
  <c r="D43" i="9"/>
  <c r="C46" i="9"/>
  <c r="C49" i="9"/>
  <c r="D53" i="9"/>
  <c r="F12" i="9"/>
  <c r="C15" i="9"/>
  <c r="N18" i="9"/>
  <c r="G19" i="9"/>
  <c r="F22" i="9"/>
  <c r="D24" i="9"/>
  <c r="D26" i="9"/>
  <c r="D28" i="9"/>
  <c r="D30" i="9"/>
  <c r="E32" i="9"/>
  <c r="E34" i="9"/>
  <c r="J35" i="9"/>
  <c r="D37" i="9"/>
  <c r="I38" i="9"/>
  <c r="C41" i="9"/>
  <c r="B44" i="9"/>
  <c r="N44" i="9" s="1"/>
  <c r="D46" i="9"/>
  <c r="B50" i="9"/>
  <c r="N50" i="9" s="1"/>
  <c r="H55" i="9"/>
  <c r="G54" i="9"/>
  <c r="F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B39" i="9"/>
  <c r="N39" i="9" s="1"/>
  <c r="E38" i="9"/>
  <c r="H37" i="9"/>
  <c r="K36" i="9"/>
  <c r="C36" i="9"/>
  <c r="F35" i="9"/>
  <c r="I34" i="9"/>
  <c r="H30" i="9"/>
  <c r="H29" i="9"/>
  <c r="H24" i="9"/>
  <c r="H23" i="9"/>
  <c r="J22" i="9"/>
  <c r="E21" i="9"/>
  <c r="H20" i="9"/>
  <c r="K19" i="9"/>
  <c r="F18" i="9"/>
  <c r="E15" i="9"/>
  <c r="E13" i="9"/>
  <c r="E12" i="9"/>
  <c r="G55" i="9"/>
  <c r="F54" i="9"/>
  <c r="E53" i="9"/>
  <c r="D52" i="9"/>
  <c r="D51" i="9"/>
  <c r="D50" i="9"/>
  <c r="D49" i="9"/>
  <c r="D48" i="9"/>
  <c r="H56" i="9"/>
  <c r="G56" i="9"/>
  <c r="F56" i="9"/>
  <c r="E56" i="9"/>
  <c r="D55" i="9"/>
  <c r="C54" i="9"/>
  <c r="B53" i="9"/>
  <c r="D56" i="9"/>
  <c r="C55" i="9"/>
  <c r="B54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E39" i="9"/>
  <c r="H38" i="9"/>
  <c r="K37" i="9"/>
  <c r="C37" i="9"/>
  <c r="F36" i="9"/>
  <c r="I35" i="9"/>
  <c r="D34" i="9"/>
  <c r="D33" i="9"/>
  <c r="D32" i="9"/>
  <c r="D31" i="9"/>
  <c r="C30" i="9"/>
  <c r="C29" i="9"/>
  <c r="C28" i="9"/>
  <c r="C27" i="9"/>
  <c r="C26" i="9"/>
  <c r="E22" i="9"/>
  <c r="H21" i="9"/>
  <c r="K20" i="9"/>
  <c r="F19" i="9"/>
  <c r="I18" i="9"/>
  <c r="D17" i="9"/>
  <c r="D14" i="9"/>
  <c r="H12" i="9"/>
  <c r="G48" i="9"/>
  <c r="J37" i="9"/>
  <c r="H35" i="9"/>
  <c r="C34" i="9"/>
  <c r="C32" i="9"/>
  <c r="C31" i="9"/>
  <c r="B29" i="9"/>
  <c r="N29" i="9" s="1"/>
  <c r="B28" i="9"/>
  <c r="N28" i="9" s="1"/>
  <c r="B26" i="9"/>
  <c r="N26" i="9" s="1"/>
  <c r="B25" i="9"/>
  <c r="N25" i="9" s="1"/>
  <c r="D22" i="9"/>
  <c r="J20" i="9"/>
  <c r="N20" i="9"/>
  <c r="H18" i="9"/>
  <c r="C14" i="9"/>
  <c r="G12" i="9"/>
  <c r="B57" i="9"/>
  <c r="H54" i="9"/>
  <c r="G53" i="9"/>
  <c r="F51" i="9"/>
  <c r="F49" i="9"/>
  <c r="F46" i="9"/>
  <c r="F44" i="9"/>
  <c r="F42" i="9"/>
  <c r="F40" i="9"/>
  <c r="I37" i="9"/>
  <c r="D36" i="9"/>
  <c r="G35" i="9"/>
  <c r="B34" i="9"/>
  <c r="N34" i="9" s="1"/>
  <c r="B32" i="9"/>
  <c r="N32" i="9" s="1"/>
  <c r="K22" i="9"/>
  <c r="F21" i="9"/>
  <c r="C56" i="9"/>
  <c r="B55" i="9"/>
  <c r="H53" i="9"/>
  <c r="G52" i="9"/>
  <c r="G51" i="9"/>
  <c r="G50" i="9"/>
  <c r="G49" i="9"/>
  <c r="G47" i="9"/>
  <c r="G46" i="9"/>
  <c r="G45" i="9"/>
  <c r="G44" i="9"/>
  <c r="G43" i="9"/>
  <c r="G42" i="9"/>
  <c r="G41" i="9"/>
  <c r="G40" i="9"/>
  <c r="D39" i="9"/>
  <c r="G38" i="9"/>
  <c r="B37" i="9"/>
  <c r="N37" i="9" s="1"/>
  <c r="E36" i="9"/>
  <c r="K34" i="9"/>
  <c r="C33" i="9"/>
  <c r="B30" i="9"/>
  <c r="B27" i="9"/>
  <c r="N27" i="9" s="1"/>
  <c r="N24" i="9"/>
  <c r="G21" i="9"/>
  <c r="E19" i="9"/>
  <c r="B56" i="9"/>
  <c r="N56" i="9" s="1"/>
  <c r="F52" i="9"/>
  <c r="F50" i="9"/>
  <c r="F48" i="9"/>
  <c r="F47" i="9"/>
  <c r="F45" i="9"/>
  <c r="F43" i="9"/>
  <c r="F41" i="9"/>
  <c r="C39" i="9"/>
  <c r="F38" i="9"/>
  <c r="J34" i="9"/>
  <c r="B33" i="9"/>
  <c r="N33" i="9" s="1"/>
  <c r="B31" i="9"/>
  <c r="N31" i="9" s="1"/>
  <c r="I20" i="9"/>
  <c r="D19" i="9"/>
  <c r="G18" i="9"/>
  <c r="D15" i="9"/>
  <c r="H19" i="9"/>
  <c r="G22" i="9"/>
  <c r="E24" i="9"/>
  <c r="E26" i="9"/>
  <c r="E28" i="9"/>
  <c r="E30" i="9"/>
  <c r="F32" i="9"/>
  <c r="F34" i="9"/>
  <c r="K35" i="9"/>
  <c r="E37" i="9"/>
  <c r="J38" i="9"/>
  <c r="D41" i="9"/>
  <c r="C44" i="9"/>
  <c r="B47" i="9"/>
  <c r="N47" i="9" s="1"/>
  <c r="C50" i="9"/>
  <c r="E54" i="9"/>
  <c r="F43" i="7"/>
  <c r="D43" i="7"/>
  <c r="F33" i="7"/>
  <c r="F32" i="7"/>
  <c r="F29" i="7"/>
  <c r="F28" i="7"/>
  <c r="F27" i="7"/>
  <c r="F26" i="7"/>
  <c r="D33" i="7"/>
  <c r="D32" i="7"/>
  <c r="D29" i="7"/>
  <c r="D28" i="7"/>
  <c r="D27" i="7"/>
  <c r="D26" i="7"/>
  <c r="D13" i="7"/>
  <c r="N58" i="9" l="1"/>
  <c r="N57" i="9"/>
  <c r="D18" i="7" l="1"/>
  <c r="D17" i="7"/>
  <c r="V47" i="7" l="1"/>
  <c r="V50" i="7"/>
  <c r="V51" i="7"/>
  <c r="V52" i="7"/>
  <c r="V53" i="7"/>
  <c r="V45" i="7"/>
  <c r="V44" i="7"/>
  <c r="V46" i="7"/>
  <c r="V48" i="7"/>
  <c r="V49" i="7"/>
  <c r="K25" i="7"/>
  <c r="K22" i="7" l="1"/>
  <c r="K19" i="7" l="1"/>
  <c r="K27" i="7" l="1"/>
  <c r="H26" i="9" s="1"/>
  <c r="K17" i="7"/>
  <c r="K26" i="7"/>
  <c r="H25" i="9" s="1"/>
  <c r="K28" i="7"/>
  <c r="H27" i="9" s="1"/>
  <c r="K29" i="7"/>
  <c r="H28" i="9" s="1"/>
  <c r="K30" i="7"/>
  <c r="K31" i="7"/>
  <c r="K32" i="7"/>
  <c r="H31" i="9" s="1"/>
  <c r="K33" i="7"/>
  <c r="H32" i="9" s="1"/>
  <c r="K35" i="7" l="1"/>
  <c r="K34" i="7"/>
  <c r="E40" i="7" l="1"/>
  <c r="V40" i="7" l="1"/>
  <c r="V14" i="7"/>
  <c r="V15" i="7"/>
  <c r="V16" i="7"/>
  <c r="N57" i="7" l="1"/>
  <c r="N39" i="7"/>
  <c r="N38" i="7"/>
  <c r="N37" i="7"/>
  <c r="N36" i="7"/>
  <c r="N35" i="7"/>
  <c r="N23" i="7"/>
  <c r="N22" i="7"/>
  <c r="N21" i="7"/>
  <c r="N20" i="7"/>
  <c r="N19" i="7"/>
  <c r="N18" i="7"/>
  <c r="K17" i="9" s="1"/>
  <c r="N17" i="7"/>
  <c r="N13" i="7"/>
  <c r="V54" i="7" l="1"/>
  <c r="V55" i="7"/>
  <c r="V56" i="7"/>
  <c r="F41" i="7"/>
  <c r="F42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40" i="7"/>
  <c r="E56" i="7"/>
  <c r="E33" i="7" l="1"/>
  <c r="C58" i="7" l="1"/>
  <c r="K13" i="7" l="1"/>
  <c r="V30" i="7" l="1"/>
  <c r="V29" i="7"/>
  <c r="V28" i="7"/>
  <c r="V25" i="7"/>
  <c r="V35" i="7"/>
  <c r="E39" i="7" l="1"/>
  <c r="D56" i="7" l="1"/>
  <c r="D55" i="7"/>
  <c r="D54" i="7"/>
  <c r="T53" i="7"/>
  <c r="E53" i="7"/>
  <c r="D53" i="7"/>
  <c r="D37" i="7"/>
  <c r="D35" i="7"/>
  <c r="D36" i="7"/>
  <c r="K23" i="7"/>
  <c r="V23" i="7" s="1"/>
  <c r="F23" i="7"/>
  <c r="T23" i="7" s="1"/>
  <c r="E23" i="7"/>
  <c r="D23" i="7"/>
  <c r="V31" i="7"/>
  <c r="F31" i="7"/>
  <c r="E31" i="7"/>
  <c r="D31" i="7"/>
  <c r="T31" i="7" l="1"/>
  <c r="D15" i="7"/>
  <c r="D14" i="7"/>
  <c r="K18" i="7"/>
  <c r="V19" i="7"/>
  <c r="K20" i="7"/>
  <c r="V20" i="7" s="1"/>
  <c r="K21" i="7"/>
  <c r="V21" i="7" s="1"/>
  <c r="V22" i="7"/>
  <c r="K24" i="7"/>
  <c r="V24" i="7" s="1"/>
  <c r="V17" i="7"/>
  <c r="K41" i="7"/>
  <c r="V41" i="7" s="1"/>
  <c r="K42" i="7"/>
  <c r="V42" i="7" s="1"/>
  <c r="V43" i="7"/>
  <c r="K38" i="7"/>
  <c r="V38" i="7" s="1"/>
  <c r="K39" i="7"/>
  <c r="V39" i="7" s="1"/>
  <c r="K36" i="7"/>
  <c r="V36" i="7" s="1"/>
  <c r="K37" i="7"/>
  <c r="V37" i="7" s="1"/>
  <c r="V18" i="7" l="1"/>
  <c r="H17" i="9"/>
  <c r="D50" i="7"/>
  <c r="V34" i="7" l="1"/>
  <c r="V32" i="7" l="1"/>
  <c r="V27" i="7"/>
  <c r="V26" i="7"/>
  <c r="V33" i="7"/>
  <c r="H58" i="6" l="1"/>
  <c r="H57" i="6"/>
  <c r="E20" i="7" l="1"/>
  <c r="F37" i="7" l="1"/>
  <c r="F58" i="6" l="1"/>
  <c r="F36" i="7" l="1"/>
  <c r="F15" i="7"/>
  <c r="F16" i="7"/>
  <c r="F19" i="7"/>
  <c r="F20" i="7"/>
  <c r="F21" i="7"/>
  <c r="F22" i="7"/>
  <c r="F24" i="7"/>
  <c r="F25" i="7"/>
  <c r="F30" i="7"/>
  <c r="F34" i="7"/>
  <c r="F35" i="7"/>
  <c r="F38" i="7"/>
  <c r="F39" i="7"/>
  <c r="F14" i="7"/>
  <c r="F13" i="7"/>
  <c r="E44" i="7"/>
  <c r="E45" i="7"/>
  <c r="E46" i="7"/>
  <c r="E47" i="7"/>
  <c r="E48" i="7"/>
  <c r="E49" i="7"/>
  <c r="E50" i="7"/>
  <c r="E51" i="7"/>
  <c r="E52" i="7"/>
  <c r="E57" i="7"/>
  <c r="E43" i="7"/>
  <c r="E38" i="7"/>
  <c r="E37" i="7"/>
  <c r="E36" i="7"/>
  <c r="E35" i="7"/>
  <c r="E34" i="7"/>
  <c r="E32" i="7"/>
  <c r="E30" i="7"/>
  <c r="E29" i="7"/>
  <c r="E28" i="7"/>
  <c r="E27" i="7"/>
  <c r="E26" i="7"/>
  <c r="E25" i="7"/>
  <c r="E24" i="7"/>
  <c r="E22" i="7"/>
  <c r="E21" i="7"/>
  <c r="E19" i="7"/>
  <c r="E18" i="7"/>
  <c r="E17" i="7"/>
  <c r="E15" i="7"/>
  <c r="E16" i="7"/>
  <c r="E14" i="7"/>
  <c r="E13" i="7"/>
  <c r="D45" i="7"/>
  <c r="D46" i="7"/>
  <c r="D47" i="7"/>
  <c r="D48" i="7"/>
  <c r="D49" i="7"/>
  <c r="D51" i="7"/>
  <c r="D52" i="7"/>
  <c r="D57" i="7"/>
  <c r="D44" i="7"/>
  <c r="D42" i="7"/>
  <c r="D41" i="7"/>
  <c r="D39" i="7"/>
  <c r="D38" i="7"/>
  <c r="D34" i="7"/>
  <c r="D30" i="7"/>
  <c r="D25" i="7"/>
  <c r="D24" i="7"/>
  <c r="D22" i="7"/>
  <c r="D21" i="7"/>
  <c r="D20" i="7"/>
  <c r="D19" i="7"/>
  <c r="D16" i="7"/>
  <c r="C62" i="7" l="1"/>
  <c r="G57" i="7" l="1"/>
  <c r="H57" i="7"/>
  <c r="I57" i="7"/>
  <c r="K57" i="7" s="1"/>
  <c r="V57" i="7" s="1"/>
  <c r="J57" i="7"/>
  <c r="F57" i="6" l="1"/>
  <c r="T18" i="7" l="1"/>
  <c r="T19" i="7" l="1"/>
  <c r="T20" i="7"/>
  <c r="T21" i="7"/>
  <c r="T22" i="7"/>
  <c r="T24" i="7"/>
  <c r="T25" i="7"/>
  <c r="T26" i="7"/>
  <c r="T27" i="7"/>
  <c r="T28" i="7"/>
  <c r="T29" i="7"/>
  <c r="T30" i="7"/>
  <c r="T32" i="7"/>
  <c r="T34" i="7"/>
  <c r="T35" i="7"/>
  <c r="T38" i="7"/>
  <c r="T39" i="7"/>
  <c r="T41" i="7"/>
  <c r="T42" i="7"/>
  <c r="T43" i="7"/>
  <c r="T44" i="7"/>
  <c r="T45" i="7"/>
  <c r="T46" i="7"/>
  <c r="T47" i="7"/>
  <c r="T48" i="7"/>
  <c r="T49" i="7"/>
  <c r="T50" i="7"/>
  <c r="T51" i="7"/>
  <c r="T52" i="7"/>
  <c r="T57" i="7"/>
  <c r="T17" i="7"/>
  <c r="T13" i="7"/>
  <c r="T59" i="7" l="1"/>
  <c r="T58" i="7"/>
  <c r="H7" i="6" l="1"/>
  <c r="D58" i="6"/>
  <c r="B7" i="6"/>
  <c r="D7" i="6"/>
  <c r="J7" i="6"/>
  <c r="H52" i="6" l="1"/>
  <c r="H51" i="6"/>
  <c r="H40" i="6"/>
  <c r="F42" i="6"/>
  <c r="G41" i="6"/>
  <c r="H41" i="6"/>
  <c r="D42" i="6"/>
  <c r="E42" i="6"/>
  <c r="D41" i="6"/>
  <c r="G42" i="6"/>
  <c r="F41" i="6"/>
  <c r="E40" i="6"/>
  <c r="E41" i="6"/>
  <c r="H42" i="6"/>
  <c r="D40" i="6"/>
  <c r="F40" i="6"/>
  <c r="G40" i="6"/>
  <c r="D44" i="6"/>
  <c r="F45" i="6"/>
  <c r="H46" i="6"/>
  <c r="D48" i="6"/>
  <c r="F49" i="6"/>
  <c r="H50" i="6"/>
  <c r="D52" i="6"/>
  <c r="F53" i="6"/>
  <c r="H54" i="6"/>
  <c r="D56" i="6"/>
  <c r="B43" i="6"/>
  <c r="B51" i="6"/>
  <c r="E44" i="6"/>
  <c r="C47" i="6"/>
  <c r="E48" i="6"/>
  <c r="G49" i="6"/>
  <c r="C51" i="6"/>
  <c r="E52" i="6"/>
  <c r="G53" i="6"/>
  <c r="E56" i="6"/>
  <c r="B52" i="6"/>
  <c r="C48" i="6"/>
  <c r="E53" i="6"/>
  <c r="B42" i="6"/>
  <c r="G45" i="6"/>
  <c r="C55" i="6"/>
  <c r="B44" i="6"/>
  <c r="F44" i="6"/>
  <c r="H45" i="6"/>
  <c r="D47" i="6"/>
  <c r="F48" i="6"/>
  <c r="H49" i="6"/>
  <c r="D51" i="6"/>
  <c r="F52" i="6"/>
  <c r="H53" i="6"/>
  <c r="D55" i="6"/>
  <c r="F56" i="6"/>
  <c r="B45" i="6"/>
  <c r="B53" i="6"/>
  <c r="G44" i="6"/>
  <c r="C46" i="6"/>
  <c r="E47" i="6"/>
  <c r="G48" i="6"/>
  <c r="C50" i="6"/>
  <c r="E51" i="6"/>
  <c r="G52" i="6"/>
  <c r="C54" i="6"/>
  <c r="E55" i="6"/>
  <c r="G56" i="6"/>
  <c r="B46" i="6"/>
  <c r="B54" i="6"/>
  <c r="E45" i="6"/>
  <c r="G50" i="6"/>
  <c r="B50" i="6"/>
  <c r="H44" i="6"/>
  <c r="D46" i="6"/>
  <c r="F47" i="6"/>
  <c r="H48" i="6"/>
  <c r="D50" i="6"/>
  <c r="F51" i="6"/>
  <c r="D54" i="6"/>
  <c r="F55" i="6"/>
  <c r="H56" i="6"/>
  <c r="B47" i="6"/>
  <c r="B56" i="6"/>
  <c r="G46" i="6"/>
  <c r="E49" i="6"/>
  <c r="C52" i="6"/>
  <c r="C56" i="6"/>
  <c r="C45" i="6"/>
  <c r="E46" i="6"/>
  <c r="G47" i="6"/>
  <c r="C49" i="6"/>
  <c r="E50" i="6"/>
  <c r="G51" i="6"/>
  <c r="C53" i="6"/>
  <c r="E54" i="6"/>
  <c r="G55" i="6"/>
  <c r="B40" i="6"/>
  <c r="B48" i="6"/>
  <c r="B38" i="6"/>
  <c r="D45" i="6"/>
  <c r="F46" i="6"/>
  <c r="H47" i="6"/>
  <c r="D49" i="6"/>
  <c r="F50" i="6"/>
  <c r="D53" i="6"/>
  <c r="F54" i="6"/>
  <c r="H55" i="6"/>
  <c r="B41" i="6"/>
  <c r="B49" i="6"/>
  <c r="B39" i="6"/>
  <c r="C44" i="6"/>
  <c r="G54" i="6"/>
  <c r="B55" i="6"/>
  <c r="C30" i="6"/>
  <c r="D30" i="6"/>
  <c r="E30" i="6"/>
  <c r="F30" i="6"/>
  <c r="G30" i="6"/>
  <c r="H30" i="6"/>
  <c r="B30" i="6"/>
  <c r="B22" i="6"/>
  <c r="C22" i="6"/>
  <c r="D22" i="6"/>
  <c r="E22" i="6"/>
  <c r="F22" i="6"/>
  <c r="G22" i="6"/>
  <c r="H22" i="6"/>
  <c r="I22" i="6"/>
  <c r="J22" i="6"/>
  <c r="K22" i="6"/>
  <c r="H12" i="6"/>
  <c r="G12" i="6"/>
  <c r="F12" i="6"/>
  <c r="C43" i="6"/>
  <c r="C42" i="6"/>
  <c r="F38" i="6"/>
  <c r="G38" i="6"/>
  <c r="I17" i="6"/>
  <c r="J17" i="6"/>
  <c r="K17" i="6"/>
  <c r="G17" i="6"/>
  <c r="E17" i="6"/>
  <c r="F17" i="6"/>
  <c r="H17" i="6"/>
  <c r="D15" i="6"/>
  <c r="C14" i="6"/>
  <c r="E15" i="6"/>
  <c r="D14" i="6"/>
  <c r="B14" i="6"/>
  <c r="E14" i="6"/>
  <c r="B15" i="6"/>
  <c r="C15" i="6"/>
  <c r="F43" i="6"/>
  <c r="E24" i="6"/>
  <c r="G43" i="6"/>
  <c r="F24" i="6"/>
  <c r="H24" i="6"/>
  <c r="H43" i="6"/>
  <c r="G24" i="6"/>
  <c r="C24" i="6"/>
  <c r="D24" i="6"/>
  <c r="B24" i="6"/>
  <c r="C13" i="6"/>
  <c r="D13" i="6"/>
  <c r="E13" i="6"/>
  <c r="B13" i="6"/>
  <c r="B17" i="6"/>
  <c r="C17" i="6"/>
  <c r="D17" i="6"/>
  <c r="A9" i="6"/>
  <c r="C9" i="6"/>
  <c r="B9" i="6"/>
  <c r="I9" i="6"/>
  <c r="B57" i="6"/>
  <c r="G9" i="6"/>
  <c r="E9" i="6"/>
  <c r="H35" i="6" l="1"/>
  <c r="H36" i="6"/>
  <c r="K36" i="6"/>
  <c r="K35" i="6"/>
  <c r="K34" i="6"/>
  <c r="H34" i="6"/>
  <c r="J36" i="6"/>
  <c r="I36" i="6"/>
  <c r="G36" i="6"/>
  <c r="F36" i="6"/>
  <c r="E36" i="6"/>
  <c r="D36" i="6"/>
  <c r="C36" i="6"/>
  <c r="B36" i="6"/>
  <c r="N36" i="6" s="1"/>
  <c r="J35" i="6"/>
  <c r="I35" i="6"/>
  <c r="G35" i="6"/>
  <c r="F35" i="6"/>
  <c r="E35" i="6"/>
  <c r="D35" i="6"/>
  <c r="C35" i="6"/>
  <c r="B35" i="6"/>
  <c r="N35" i="6" s="1"/>
  <c r="J34" i="6"/>
  <c r="I34" i="6"/>
  <c r="G34" i="6"/>
  <c r="F34" i="6"/>
  <c r="E34" i="6"/>
  <c r="D34" i="6"/>
  <c r="C34" i="6"/>
  <c r="B34" i="6"/>
  <c r="N34" i="6" s="1"/>
  <c r="D43" i="6" l="1"/>
  <c r="N41" i="6"/>
  <c r="D39" i="6"/>
  <c r="C40" i="6"/>
  <c r="E39" i="6"/>
  <c r="N40" i="6"/>
  <c r="N39" i="6"/>
  <c r="N46" i="6"/>
  <c r="C41" i="6"/>
  <c r="N45" i="6"/>
  <c r="E43" i="6"/>
  <c r="C39" i="6"/>
  <c r="N44" i="6"/>
  <c r="N42" i="6"/>
  <c r="N43" i="6"/>
  <c r="B12" i="6"/>
  <c r="N12" i="6" s="1"/>
  <c r="B18" i="6"/>
  <c r="N18" i="6" s="1"/>
  <c r="B19" i="6"/>
  <c r="N19" i="6" s="1"/>
  <c r="F26" i="6"/>
  <c r="B20" i="6"/>
  <c r="N20" i="6" s="1"/>
  <c r="K18" i="6"/>
  <c r="G20" i="6"/>
  <c r="F19" i="6"/>
  <c r="G19" i="6"/>
  <c r="I20" i="6"/>
  <c r="F18" i="6"/>
  <c r="J20" i="6"/>
  <c r="I19" i="6"/>
  <c r="K20" i="6"/>
  <c r="H18" i="6"/>
  <c r="J19" i="6"/>
  <c r="F21" i="6"/>
  <c r="I18" i="6"/>
  <c r="K19" i="6"/>
  <c r="K21" i="6"/>
  <c r="F27" i="6"/>
  <c r="F32" i="6"/>
  <c r="E38" i="6"/>
  <c r="E27" i="6"/>
  <c r="E18" i="6"/>
  <c r="D38" i="6"/>
  <c r="D27" i="6"/>
  <c r="D18" i="6"/>
  <c r="C38" i="6"/>
  <c r="C27" i="6"/>
  <c r="C18" i="6"/>
  <c r="N38" i="6"/>
  <c r="B27" i="6"/>
  <c r="N27" i="6" s="1"/>
  <c r="E12" i="6"/>
  <c r="E23" i="6"/>
  <c r="B23" i="6"/>
  <c r="N23" i="6" s="1"/>
  <c r="E20" i="6"/>
  <c r="C28" i="6"/>
  <c r="F23" i="6"/>
  <c r="G27" i="6"/>
  <c r="G32" i="6"/>
  <c r="E37" i="6"/>
  <c r="E26" i="6"/>
  <c r="D37" i="6"/>
  <c r="D26" i="6"/>
  <c r="C37" i="6"/>
  <c r="C26" i="6"/>
  <c r="B37" i="6"/>
  <c r="N37" i="6" s="1"/>
  <c r="B26" i="6"/>
  <c r="N26" i="6" s="1"/>
  <c r="D12" i="6"/>
  <c r="H37" i="6"/>
  <c r="D23" i="6"/>
  <c r="C23" i="6"/>
  <c r="B32" i="6"/>
  <c r="N32" i="6" s="1"/>
  <c r="D20" i="6"/>
  <c r="C29" i="6"/>
  <c r="B29" i="6"/>
  <c r="N29" i="6" s="1"/>
  <c r="B28" i="6"/>
  <c r="N28" i="6" s="1"/>
  <c r="J18" i="6"/>
  <c r="G23" i="6"/>
  <c r="F31" i="6"/>
  <c r="H32" i="6"/>
  <c r="F37" i="6"/>
  <c r="E25" i="6"/>
  <c r="D25" i="6"/>
  <c r="C25" i="6"/>
  <c r="N56" i="6"/>
  <c r="B25" i="6"/>
  <c r="N25" i="6" s="1"/>
  <c r="C12" i="6"/>
  <c r="D32" i="6"/>
  <c r="H25" i="6"/>
  <c r="E28" i="6"/>
  <c r="D28" i="6"/>
  <c r="N47" i="6"/>
  <c r="F20" i="6"/>
  <c r="H23" i="6"/>
  <c r="G26" i="6"/>
  <c r="G31" i="6"/>
  <c r="G37" i="6"/>
  <c r="I38" i="6"/>
  <c r="E33" i="6"/>
  <c r="D33" i="6"/>
  <c r="C33" i="6"/>
  <c r="N51" i="6"/>
  <c r="B33" i="6"/>
  <c r="N33" i="6" s="1"/>
  <c r="N24" i="6"/>
  <c r="G21" i="6"/>
  <c r="H26" i="6"/>
  <c r="F29" i="6"/>
  <c r="J38" i="6"/>
  <c r="E32" i="6"/>
  <c r="C32" i="6"/>
  <c r="N50" i="6"/>
  <c r="C20" i="6"/>
  <c r="N17" i="6"/>
  <c r="J21" i="6"/>
  <c r="G28" i="6"/>
  <c r="K37" i="6"/>
  <c r="H21" i="6"/>
  <c r="F25" i="6"/>
  <c r="G29" i="6"/>
  <c r="I37" i="6"/>
  <c r="K38" i="6"/>
  <c r="E31" i="6"/>
  <c r="E21" i="6"/>
  <c r="D31" i="6"/>
  <c r="D21" i="6"/>
  <c r="C31" i="6"/>
  <c r="C21" i="6"/>
  <c r="N49" i="6"/>
  <c r="B31" i="6"/>
  <c r="N31" i="6" s="1"/>
  <c r="B21" i="6"/>
  <c r="N21" i="6" s="1"/>
  <c r="I21" i="6"/>
  <c r="G25" i="6"/>
  <c r="F28" i="6"/>
  <c r="H29" i="6"/>
  <c r="F33" i="6"/>
  <c r="J37" i="6"/>
  <c r="E29" i="6"/>
  <c r="D29" i="6"/>
  <c r="N48" i="6"/>
  <c r="G33" i="6"/>
  <c r="E19" i="6"/>
  <c r="D19" i="6"/>
  <c r="C19" i="6"/>
  <c r="N57" i="6" l="1"/>
  <c r="N58" i="6"/>
  <c r="H33" i="6"/>
  <c r="H20" i="6" l="1"/>
  <c r="H38" i="6"/>
  <c r="H19" i="6"/>
  <c r="G18" i="6"/>
  <c r="H27" i="6" l="1"/>
  <c r="H28" i="6"/>
  <c r="H3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수도권대기환경청</author>
  </authors>
  <commentList>
    <comment ref="P19" authorId="0" shapeId="0" xr:uid="{71845350-59CF-4176-A5CE-7BB53F1D47FE}">
      <text>
        <r>
          <rPr>
            <b/>
            <sz val="9"/>
            <color indexed="81"/>
            <rFont val="돋움"/>
            <family val="3"/>
            <charset val="129"/>
          </rPr>
          <t>수도권대기환경청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UV : 80L
IC : 40L</t>
        </r>
      </text>
    </comment>
    <comment ref="N35" authorId="0" shapeId="0" xr:uid="{D795AE86-147C-4ECA-84C2-A410071977EC}">
      <text>
        <r>
          <rPr>
            <b/>
            <sz val="9"/>
            <color indexed="81"/>
            <rFont val="돋움"/>
            <family val="3"/>
            <charset val="129"/>
          </rPr>
          <t>수도권대기환경청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확인필요
</t>
        </r>
      </text>
    </comment>
  </commentList>
</comments>
</file>

<file path=xl/sharedStrings.xml><?xml version="1.0" encoding="utf-8"?>
<sst xmlns="http://schemas.openxmlformats.org/spreadsheetml/2006/main" count="432" uniqueCount="186">
  <si>
    <t>시료채취기록부</t>
    <phoneticPr fontId="1" type="noConversion"/>
  </si>
  <si>
    <t>사업장명</t>
    <phoneticPr fontId="1" type="noConversion"/>
  </si>
  <si>
    <t>업종</t>
    <phoneticPr fontId="1" type="noConversion"/>
  </si>
  <si>
    <t>굴뚝명</t>
    <phoneticPr fontId="1" type="noConversion"/>
  </si>
  <si>
    <t>현장기상</t>
    <phoneticPr fontId="1" type="noConversion"/>
  </si>
  <si>
    <t>채취일</t>
    <phoneticPr fontId="1" type="noConversion"/>
  </si>
  <si>
    <t>기상</t>
    <phoneticPr fontId="1" type="noConversion"/>
  </si>
  <si>
    <t>기온</t>
    <phoneticPr fontId="1" type="noConversion"/>
  </si>
  <si>
    <t>습도</t>
    <phoneticPr fontId="1" type="noConversion"/>
  </si>
  <si>
    <t>기압</t>
    <phoneticPr fontId="1" type="noConversion"/>
  </si>
  <si>
    <t>풍향</t>
    <phoneticPr fontId="1" type="noConversion"/>
  </si>
  <si>
    <t>℃</t>
    <phoneticPr fontId="1" type="noConversion"/>
  </si>
  <si>
    <t>%</t>
    <phoneticPr fontId="1" type="noConversion"/>
  </si>
  <si>
    <t>mmHg</t>
    <phoneticPr fontId="1" type="noConversion"/>
  </si>
  <si>
    <t>m/s</t>
    <phoneticPr fontId="1" type="noConversion"/>
  </si>
  <si>
    <t>물질명</t>
    <phoneticPr fontId="1" type="noConversion"/>
  </si>
  <si>
    <t>의뢰항목</t>
    <phoneticPr fontId="1" type="noConversion"/>
  </si>
  <si>
    <t>sampler
No.</t>
    <phoneticPr fontId="1" type="noConversion"/>
  </si>
  <si>
    <t>측정일시</t>
    <phoneticPr fontId="1" type="noConversion"/>
  </si>
  <si>
    <t>채취유량</t>
    <phoneticPr fontId="1" type="noConversion"/>
  </si>
  <si>
    <t>공정시험기준</t>
    <phoneticPr fontId="1" type="noConversion"/>
  </si>
  <si>
    <t>분석기한</t>
    <phoneticPr fontId="1" type="noConversion"/>
  </si>
  <si>
    <t>날짜</t>
    <phoneticPr fontId="1" type="noConversion"/>
  </si>
  <si>
    <t>시작</t>
    <phoneticPr fontId="1" type="noConversion"/>
  </si>
  <si>
    <t>종료</t>
    <phoneticPr fontId="1" type="noConversion"/>
  </si>
  <si>
    <t>시작값</t>
    <phoneticPr fontId="1" type="noConversion"/>
  </si>
  <si>
    <t>종료값</t>
    <phoneticPr fontId="1" type="noConversion"/>
  </si>
  <si>
    <t>채취유량(L)</t>
    <phoneticPr fontId="1" type="noConversion"/>
  </si>
  <si>
    <t>온도(℃)</t>
    <phoneticPr fontId="1" type="noConversion"/>
  </si>
  <si>
    <t>압력(mmH2O)</t>
    <phoneticPr fontId="1" type="noConversion"/>
  </si>
  <si>
    <t>압력(mmHg)</t>
    <phoneticPr fontId="1" type="noConversion"/>
  </si>
  <si>
    <t>흡입속도(L/min)</t>
    <phoneticPr fontId="1" type="noConversion"/>
  </si>
  <si>
    <t>P</t>
    <phoneticPr fontId="1" type="noConversion"/>
  </si>
  <si>
    <t>먼지</t>
    <phoneticPr fontId="1" type="noConversion"/>
  </si>
  <si>
    <t>M</t>
    <phoneticPr fontId="1" type="noConversion"/>
  </si>
  <si>
    <t>구리</t>
    <phoneticPr fontId="1" type="noConversion"/>
  </si>
  <si>
    <t>카드륨</t>
    <phoneticPr fontId="1" type="noConversion"/>
  </si>
  <si>
    <t>납</t>
    <phoneticPr fontId="1" type="noConversion"/>
  </si>
  <si>
    <t>니켈</t>
    <phoneticPr fontId="1" type="noConversion"/>
  </si>
  <si>
    <t>아연</t>
    <phoneticPr fontId="1" type="noConversion"/>
  </si>
  <si>
    <t>비소(입자상)</t>
    <phoneticPr fontId="1" type="noConversion"/>
  </si>
  <si>
    <t>As-G</t>
    <phoneticPr fontId="1" type="noConversion"/>
  </si>
  <si>
    <t>Hg</t>
    <phoneticPr fontId="1" type="noConversion"/>
  </si>
  <si>
    <t>수</t>
    <phoneticPr fontId="1" type="noConversion"/>
  </si>
  <si>
    <t>일산화탄소</t>
    <phoneticPr fontId="1" type="noConversion"/>
  </si>
  <si>
    <t>질소산화물</t>
    <phoneticPr fontId="1" type="noConversion"/>
  </si>
  <si>
    <t>황산화물</t>
    <phoneticPr fontId="1" type="noConversion"/>
  </si>
  <si>
    <t>총탄화수소</t>
    <phoneticPr fontId="1" type="noConversion"/>
  </si>
  <si>
    <t>NH3</t>
    <phoneticPr fontId="1" type="noConversion"/>
  </si>
  <si>
    <t>1~2</t>
    <phoneticPr fontId="1" type="noConversion"/>
  </si>
  <si>
    <t>F</t>
    <phoneticPr fontId="1" type="noConversion"/>
  </si>
  <si>
    <t>HCl</t>
    <phoneticPr fontId="1" type="noConversion"/>
  </si>
  <si>
    <t>염화수소</t>
    <phoneticPr fontId="1" type="noConversion"/>
  </si>
  <si>
    <t>H2S</t>
    <phoneticPr fontId="1" type="noConversion"/>
  </si>
  <si>
    <t>황화수소</t>
    <phoneticPr fontId="1" type="noConversion"/>
  </si>
  <si>
    <t>HCN</t>
    <phoneticPr fontId="1" type="noConversion"/>
  </si>
  <si>
    <t>PN</t>
    <phoneticPr fontId="1" type="noConversion"/>
  </si>
  <si>
    <t>Br</t>
    <phoneticPr fontId="1" type="noConversion"/>
  </si>
  <si>
    <t>BZ</t>
    <phoneticPr fontId="1" type="noConversion"/>
  </si>
  <si>
    <t>염화비닐</t>
    <phoneticPr fontId="1" type="noConversion"/>
  </si>
  <si>
    <t>벤젠</t>
    <phoneticPr fontId="1" type="noConversion"/>
  </si>
  <si>
    <t>1,3-부타디엔</t>
    <phoneticPr fontId="1" type="noConversion"/>
  </si>
  <si>
    <t>디클로로메탄</t>
    <phoneticPr fontId="1" type="noConversion"/>
  </si>
  <si>
    <t>트리클로로에틸렌</t>
    <phoneticPr fontId="1" type="noConversion"/>
  </si>
  <si>
    <t>테트라클로로에틸렌</t>
    <phoneticPr fontId="1" type="noConversion"/>
  </si>
  <si>
    <t>1,2-디크로로에탄</t>
    <phoneticPr fontId="1" type="noConversion"/>
  </si>
  <si>
    <t>클로로포름</t>
    <phoneticPr fontId="1" type="noConversion"/>
  </si>
  <si>
    <t>아크릴로니트릴</t>
    <phoneticPr fontId="1" type="noConversion"/>
  </si>
  <si>
    <t>스틸렌</t>
    <phoneticPr fontId="1" type="noConversion"/>
  </si>
  <si>
    <t>에틸벤젠</t>
    <phoneticPr fontId="1" type="noConversion"/>
  </si>
  <si>
    <t>사염화탄소</t>
    <phoneticPr fontId="1" type="noConversion"/>
  </si>
  <si>
    <t>CS2</t>
    <phoneticPr fontId="1" type="noConversion"/>
  </si>
  <si>
    <t>이황화탄소</t>
    <phoneticPr fontId="1" type="noConversion"/>
  </si>
  <si>
    <t>시료채취자</t>
    <phoneticPr fontId="1" type="noConversion"/>
  </si>
  <si>
    <t>직급</t>
    <phoneticPr fontId="1" type="noConversion"/>
  </si>
  <si>
    <t>환경연구사</t>
    <phoneticPr fontId="1" type="noConversion"/>
  </si>
  <si>
    <t>전문위원</t>
    <phoneticPr fontId="1" type="noConversion"/>
  </si>
  <si>
    <t>이름</t>
    <phoneticPr fontId="1" type="noConversion"/>
  </si>
  <si>
    <r>
      <t xml:space="preserve">시료번호
</t>
    </r>
    <r>
      <rPr>
        <sz val="10"/>
        <color theme="1"/>
        <rFont val="맑은 고딕"/>
        <family val="3"/>
        <charset val="129"/>
        <scheme val="minor"/>
      </rPr>
      <t>(날짜-사업장-굴뚝-항목)</t>
    </r>
    <phoneticPr fontId="1" type="noConversion"/>
  </si>
  <si>
    <t>시험검사기간</t>
    <phoneticPr fontId="1" type="noConversion"/>
  </si>
  <si>
    <t>현장측정</t>
    <phoneticPr fontId="1" type="noConversion"/>
  </si>
  <si>
    <t>벤조(a)피렌</t>
    <phoneticPr fontId="1" type="noConversion"/>
  </si>
  <si>
    <t>페놀</t>
    <phoneticPr fontId="1" type="noConversion"/>
  </si>
  <si>
    <t>시료번호</t>
    <phoneticPr fontId="1" type="noConversion"/>
  </si>
  <si>
    <t>기온(℃)</t>
    <phoneticPr fontId="1" type="noConversion"/>
  </si>
  <si>
    <t>샘플러</t>
    <phoneticPr fontId="1" type="noConversion"/>
  </si>
  <si>
    <t>비소(가스상)</t>
  </si>
  <si>
    <t>수은(입자상)
수은(가스상)</t>
    <phoneticPr fontId="1" type="noConversion"/>
  </si>
  <si>
    <t>습도(%)</t>
    <phoneticPr fontId="1" type="noConversion"/>
  </si>
  <si>
    <t>기압(mmHg)</t>
    <phoneticPr fontId="1" type="noConversion"/>
  </si>
  <si>
    <t>풍속(m/s)</t>
    <phoneticPr fontId="1" type="noConversion"/>
  </si>
  <si>
    <t>가스 샘플러(가스미터)</t>
    <phoneticPr fontId="1" type="noConversion"/>
  </si>
  <si>
    <t>MIN</t>
    <phoneticPr fontId="1" type="noConversion"/>
  </si>
  <si>
    <t>MAX</t>
    <phoneticPr fontId="1" type="noConversion"/>
  </si>
  <si>
    <t>(인)</t>
  </si>
  <si>
    <t>G</t>
    <phoneticPr fontId="1" type="noConversion"/>
  </si>
  <si>
    <t>알데하이드-1</t>
    <phoneticPr fontId="1" type="noConversion"/>
  </si>
  <si>
    <t>알데하이드-2</t>
  </si>
  <si>
    <t>알데하이드-3</t>
  </si>
  <si>
    <t>날짜</t>
  </si>
  <si>
    <t>+1</t>
    <phoneticPr fontId="1" type="noConversion"/>
  </si>
  <si>
    <t>입자상 동일</t>
    <phoneticPr fontId="1" type="noConversion"/>
  </si>
  <si>
    <t>시안화수소</t>
    <phoneticPr fontId="1" type="noConversion"/>
  </si>
  <si>
    <t>불소</t>
    <phoneticPr fontId="1" type="noConversion"/>
  </si>
  <si>
    <t>크롬</t>
    <phoneticPr fontId="1" type="noConversion"/>
  </si>
  <si>
    <t>브롬</t>
    <phoneticPr fontId="1" type="noConversion"/>
  </si>
  <si>
    <t>카드뮴</t>
    <phoneticPr fontId="1" type="noConversion"/>
  </si>
  <si>
    <t>풍</t>
    <phoneticPr fontId="1" type="noConversion"/>
  </si>
  <si>
    <t>암모니아-1(BA)</t>
    <phoneticPr fontId="1" type="noConversion"/>
  </si>
  <si>
    <t>암모니아-2(H2O2)</t>
    <phoneticPr fontId="1" type="noConversion"/>
  </si>
  <si>
    <t>소요시간(min)</t>
    <phoneticPr fontId="1" type="noConversion"/>
  </si>
  <si>
    <t>#1</t>
    <phoneticPr fontId="13" type="noConversion"/>
  </si>
  <si>
    <t>#2</t>
  </si>
  <si>
    <t>#3</t>
  </si>
  <si>
    <t>#4</t>
  </si>
  <si>
    <t>SN.</t>
  </si>
  <si>
    <t>1910162K</t>
    <phoneticPr fontId="13" type="noConversion"/>
  </si>
  <si>
    <t>1910163K</t>
    <phoneticPr fontId="13" type="noConversion"/>
  </si>
  <si>
    <t>1910164K</t>
    <phoneticPr fontId="13" type="noConversion"/>
  </si>
  <si>
    <t>1910165K</t>
    <phoneticPr fontId="13" type="noConversion"/>
  </si>
  <si>
    <t>Yd</t>
  </si>
  <si>
    <t>입자샘플러</t>
    <phoneticPr fontId="1" type="noConversion"/>
  </si>
  <si>
    <t>1,2-디클로로에탄</t>
    <phoneticPr fontId="1" type="noConversion"/>
  </si>
  <si>
    <t>시설약자</t>
    <phoneticPr fontId="1" type="noConversion"/>
  </si>
  <si>
    <t>THC</t>
    <phoneticPr fontId="1" type="noConversion"/>
  </si>
  <si>
    <t>사용 샘플러(입자)</t>
    <phoneticPr fontId="1" type="noConversion"/>
  </si>
  <si>
    <t>사용 샘플러(가스)</t>
    <phoneticPr fontId="1" type="noConversion"/>
  </si>
  <si>
    <t>VOCs</t>
    <phoneticPr fontId="1" type="noConversion"/>
  </si>
  <si>
    <t>■MAMO-QP-13-02</t>
    <phoneticPr fontId="1" type="noConversion"/>
  </si>
  <si>
    <t>기술책임자</t>
    <phoneticPr fontId="1" type="noConversion"/>
  </si>
  <si>
    <t>#5</t>
  </si>
  <si>
    <t>A2312850</t>
    <phoneticPr fontId="1" type="noConversion"/>
  </si>
  <si>
    <t>전문위원</t>
    <phoneticPr fontId="1" type="noConversion"/>
  </si>
  <si>
    <t>풍속</t>
    <phoneticPr fontId="1" type="noConversion"/>
  </si>
  <si>
    <t>가스샘플러</t>
    <phoneticPr fontId="1" type="noConversion"/>
  </si>
  <si>
    <t>A2304264</t>
    <phoneticPr fontId="1" type="noConversion"/>
  </si>
  <si>
    <t>배출시설</t>
    <phoneticPr fontId="1" type="noConversion"/>
  </si>
  <si>
    <t>가스샘플러1</t>
    <phoneticPr fontId="1" type="noConversion"/>
  </si>
  <si>
    <t>26 상반기</t>
    <phoneticPr fontId="1" type="noConversion"/>
  </si>
  <si>
    <t>베릴륨</t>
    <phoneticPr fontId="1" type="noConversion"/>
  </si>
  <si>
    <t>하이드라진</t>
    <phoneticPr fontId="1" type="noConversion"/>
  </si>
  <si>
    <t>알데히드-1</t>
    <phoneticPr fontId="1" type="noConversion"/>
  </si>
  <si>
    <t>알데히드-2</t>
  </si>
  <si>
    <t>알데히드-3</t>
  </si>
  <si>
    <t>수은</t>
    <phoneticPr fontId="1" type="noConversion"/>
  </si>
  <si>
    <t>ALD-1</t>
    <phoneticPr fontId="1" type="noConversion"/>
  </si>
  <si>
    <t>ALD-2</t>
  </si>
  <si>
    <t>ALD-3</t>
  </si>
  <si>
    <t>벤지딘</t>
    <phoneticPr fontId="1" type="noConversion"/>
  </si>
  <si>
    <t>아닐린</t>
    <phoneticPr fontId="1" type="noConversion"/>
  </si>
  <si>
    <t>이황화메틸</t>
    <phoneticPr fontId="1" type="noConversion"/>
  </si>
  <si>
    <t>옥사이드</t>
    <phoneticPr fontId="1" type="noConversion"/>
  </si>
  <si>
    <t>OX</t>
    <phoneticPr fontId="1" type="noConversion"/>
  </si>
  <si>
    <t>AN</t>
    <phoneticPr fontId="1" type="noConversion"/>
  </si>
  <si>
    <t>HDZ</t>
    <phoneticPr fontId="1" type="noConversion"/>
  </si>
  <si>
    <t>BEN</t>
    <phoneticPr fontId="1" type="noConversion"/>
  </si>
  <si>
    <t>DMS</t>
    <phoneticPr fontId="1" type="noConversion"/>
  </si>
  <si>
    <t>입자샘플러4</t>
    <phoneticPr fontId="1" type="noConversion"/>
  </si>
  <si>
    <t>맑음</t>
    <phoneticPr fontId="1" type="noConversion"/>
  </si>
  <si>
    <t>이상석</t>
    <phoneticPr fontId="1" type="noConversion"/>
  </si>
  <si>
    <t>하이드라진</t>
    <phoneticPr fontId="1" type="noConversion"/>
  </si>
  <si>
    <t>베릴륨</t>
    <phoneticPr fontId="1" type="noConversion"/>
  </si>
  <si>
    <t>사염화탄소</t>
    <phoneticPr fontId="1" type="noConversion"/>
  </si>
  <si>
    <t>벤지딘</t>
    <phoneticPr fontId="1" type="noConversion"/>
  </si>
  <si>
    <t>아닐린</t>
    <phoneticPr fontId="1" type="noConversion"/>
  </si>
  <si>
    <t>이황화메틸</t>
    <phoneticPr fontId="1" type="noConversion"/>
  </si>
  <si>
    <t>권준형</t>
    <phoneticPr fontId="1" type="noConversion"/>
  </si>
  <si>
    <t>김규환</t>
    <phoneticPr fontId="1" type="noConversion"/>
  </si>
  <si>
    <t>O</t>
    <phoneticPr fontId="1" type="noConversion"/>
  </si>
  <si>
    <t>#A-30</t>
    <phoneticPr fontId="1" type="noConversion"/>
  </si>
  <si>
    <t>화력발전업(35113)</t>
    <phoneticPr fontId="1" type="noConversion"/>
  </si>
  <si>
    <t>가스터빈</t>
    <phoneticPr fontId="1" type="noConversion"/>
  </si>
  <si>
    <t>GSP</t>
    <phoneticPr fontId="1" type="noConversion"/>
  </si>
  <si>
    <t>동</t>
    <phoneticPr fontId="1" type="noConversion"/>
  </si>
  <si>
    <t>류승훈</t>
    <phoneticPr fontId="1" type="noConversion"/>
  </si>
  <si>
    <t>O</t>
  </si>
  <si>
    <t>O</t>
    <phoneticPr fontId="1" type="noConversion"/>
  </si>
  <si>
    <t>암모니아(BA)</t>
    <phoneticPr fontId="1" type="noConversion"/>
  </si>
  <si>
    <t>암모니아(HP)</t>
    <phoneticPr fontId="1" type="noConversion"/>
  </si>
  <si>
    <t>김규환 (인)</t>
    <phoneticPr fontId="1" type="noConversion"/>
  </si>
  <si>
    <t>이슬기 (인)</t>
    <phoneticPr fontId="1" type="noConversion"/>
  </si>
  <si>
    <t>동</t>
    <phoneticPr fontId="1" type="noConversion"/>
  </si>
  <si>
    <t>이슬기</t>
  </si>
  <si>
    <t>지에스파워㈜ 부천열병합발전처</t>
    <phoneticPr fontId="1" type="noConversion"/>
  </si>
  <si>
    <t>암모니아(BA)</t>
  </si>
  <si>
    <t>암모니아(HP)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</si>
</sst>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h:mm;@"/>
    <numFmt numFmtId="177" formatCode="0.0_);[Red]\(0.0\)"/>
    <numFmt numFmtId="178" formatCode="0.0"/>
    <numFmt numFmtId="179" formatCode="0.00_);[Red]\(0.00\)"/>
    <numFmt numFmtId="180" formatCode="0.0000"/>
    <numFmt numFmtId="181" formatCode="0_);[Red]\(0\)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 val="double"/>
      <sz val="26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2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3FF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347">
    <xf numFmtId="0" fontId="0" fillId="0" borderId="0" xfId="0">
      <alignment vertical="center"/>
    </xf>
    <xf numFmtId="0" fontId="0" fillId="0" borderId="8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0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6" borderId="2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7" fillId="0" borderId="37" xfId="0" applyFont="1" applyBorder="1" applyAlignment="1">
      <alignment horizontal="right" vertical="center"/>
    </xf>
    <xf numFmtId="0" fontId="7" fillId="0" borderId="38" xfId="0" applyFont="1" applyBorder="1">
      <alignment vertical="center"/>
    </xf>
    <xf numFmtId="0" fontId="0" fillId="6" borderId="24" xfId="0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4" fontId="0" fillId="0" borderId="49" xfId="0" applyNumberFormat="1" applyBorder="1" applyAlignment="1">
      <alignment horizontal="center" vertical="center"/>
    </xf>
    <xf numFmtId="0" fontId="0" fillId="0" borderId="0" xfId="0" quotePrefix="1">
      <alignment vertical="center"/>
    </xf>
    <xf numFmtId="0" fontId="0" fillId="6" borderId="16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2" fillId="0" borderId="10" xfId="0" applyFont="1" applyBorder="1" applyAlignment="1">
      <alignment horizontal="center" vertical="center"/>
    </xf>
    <xf numFmtId="14" fontId="12" fillId="0" borderId="16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179" fontId="0" fillId="0" borderId="23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right" vertical="center"/>
    </xf>
    <xf numFmtId="0" fontId="12" fillId="5" borderId="20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right" vertical="center"/>
    </xf>
    <xf numFmtId="0" fontId="12" fillId="0" borderId="20" xfId="0" applyFont="1" applyBorder="1" applyAlignment="1">
      <alignment horizontal="left" vertical="center"/>
    </xf>
    <xf numFmtId="0" fontId="12" fillId="5" borderId="20" xfId="0" applyFont="1" applyFill="1" applyBorder="1">
      <alignment vertical="center"/>
    </xf>
    <xf numFmtId="0" fontId="12" fillId="5" borderId="32" xfId="0" applyFont="1" applyFill="1" applyBorder="1" applyAlignment="1">
      <alignment horizontal="left" vertical="center"/>
    </xf>
    <xf numFmtId="180" fontId="12" fillId="5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left" vertical="center"/>
    </xf>
    <xf numFmtId="14" fontId="12" fillId="0" borderId="23" xfId="0" applyNumberFormat="1" applyFont="1" applyBorder="1" applyAlignment="1">
      <alignment horizontal="center" vertical="center"/>
    </xf>
    <xf numFmtId="9" fontId="12" fillId="0" borderId="23" xfId="0" applyNumberFormat="1" applyFont="1" applyBorder="1" applyAlignment="1">
      <alignment horizontal="center" vertical="center"/>
    </xf>
    <xf numFmtId="0" fontId="12" fillId="5" borderId="37" xfId="0" applyFont="1" applyFill="1" applyBorder="1" applyAlignment="1">
      <alignment horizontal="right" vertical="center"/>
    </xf>
    <xf numFmtId="0" fontId="12" fillId="5" borderId="43" xfId="0" applyFont="1" applyFill="1" applyBorder="1" applyAlignment="1">
      <alignment horizontal="left" vertical="center"/>
    </xf>
    <xf numFmtId="0" fontId="12" fillId="0" borderId="37" xfId="0" applyFont="1" applyBorder="1" applyAlignment="1">
      <alignment horizontal="right" vertical="center"/>
    </xf>
    <xf numFmtId="0" fontId="12" fillId="0" borderId="38" xfId="0" applyFont="1" applyBorder="1" applyAlignment="1">
      <alignment horizontal="left" vertical="center"/>
    </xf>
    <xf numFmtId="0" fontId="12" fillId="5" borderId="43" xfId="0" applyFont="1" applyFill="1" applyBorder="1">
      <alignment vertical="center"/>
    </xf>
    <xf numFmtId="0" fontId="12" fillId="5" borderId="39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177" fontId="12" fillId="2" borderId="7" xfId="0" applyNumberFormat="1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6" borderId="40" xfId="0" applyFont="1" applyFill="1" applyBorder="1" applyAlignment="1">
      <alignment horizontal="center" vertical="center"/>
    </xf>
    <xf numFmtId="2" fontId="12" fillId="6" borderId="41" xfId="0" applyNumberFormat="1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20" fontId="12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2" fontId="12" fillId="6" borderId="22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20" fontId="12" fillId="0" borderId="1" xfId="0" applyNumberFormat="1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14" fontId="12" fillId="0" borderId="22" xfId="0" applyNumberFormat="1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14" fontId="12" fillId="0" borderId="34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6" borderId="1" xfId="0" quotePrefix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20" fontId="12" fillId="0" borderId="23" xfId="0" applyNumberFormat="1" applyFont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2" fontId="12" fillId="6" borderId="24" xfId="0" applyNumberFormat="1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4" fontId="12" fillId="0" borderId="49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20" fontId="12" fillId="0" borderId="9" xfId="0" applyNumberFormat="1" applyFont="1" applyBorder="1" applyAlignment="1">
      <alignment horizontal="center" vertical="center"/>
    </xf>
    <xf numFmtId="179" fontId="12" fillId="0" borderId="9" xfId="0" applyNumberFormat="1" applyFont="1" applyBorder="1" applyAlignment="1">
      <alignment horizontal="center" vertical="center"/>
    </xf>
    <xf numFmtId="14" fontId="12" fillId="0" borderId="13" xfId="0" applyNumberFormat="1" applyFont="1" applyBorder="1" applyAlignment="1">
      <alignment horizontal="center" vertical="center"/>
    </xf>
    <xf numFmtId="20" fontId="12" fillId="0" borderId="0" xfId="0" applyNumberFormat="1" applyFont="1">
      <alignment vertical="center"/>
    </xf>
    <xf numFmtId="0" fontId="12" fillId="8" borderId="10" xfId="0" applyFont="1" applyFill="1" applyBorder="1" applyAlignment="1">
      <alignment horizontal="center" vertical="center"/>
    </xf>
    <xf numFmtId="2" fontId="12" fillId="6" borderId="9" xfId="0" applyNumberFormat="1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77" fontId="12" fillId="0" borderId="0" xfId="0" applyNumberFormat="1" applyFont="1">
      <alignment vertical="center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23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/>
    </xf>
    <xf numFmtId="0" fontId="12" fillId="10" borderId="57" xfId="0" applyFont="1" applyFill="1" applyBorder="1" applyAlignment="1">
      <alignment horizontal="center" vertical="center"/>
    </xf>
    <xf numFmtId="176" fontId="12" fillId="0" borderId="23" xfId="0" applyNumberFormat="1" applyFont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14" fontId="12" fillId="11" borderId="9" xfId="0" applyNumberFormat="1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14" fontId="12" fillId="11" borderId="23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>
      <alignment vertical="center"/>
    </xf>
    <xf numFmtId="0" fontId="12" fillId="0" borderId="55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7" borderId="59" xfId="0" applyFont="1" applyFill="1" applyBorder="1" applyAlignment="1">
      <alignment horizontal="center" vertical="center"/>
    </xf>
    <xf numFmtId="0" fontId="12" fillId="11" borderId="40" xfId="0" applyFont="1" applyFill="1" applyBorder="1" applyAlignment="1">
      <alignment horizontal="center" vertical="center" wrapText="1"/>
    </xf>
    <xf numFmtId="0" fontId="12" fillId="11" borderId="60" xfId="0" applyFont="1" applyFill="1" applyBorder="1" applyAlignment="1">
      <alignment horizontal="center" vertical="center"/>
    </xf>
    <xf numFmtId="14" fontId="12" fillId="11" borderId="40" xfId="0" applyNumberFormat="1" applyFont="1" applyFill="1" applyBorder="1" applyAlignment="1">
      <alignment horizontal="center" vertical="center"/>
    </xf>
    <xf numFmtId="176" fontId="12" fillId="0" borderId="40" xfId="0" applyNumberFormat="1" applyFont="1" applyBorder="1" applyAlignment="1">
      <alignment horizontal="center" vertical="center"/>
    </xf>
    <xf numFmtId="14" fontId="12" fillId="11" borderId="1" xfId="0" applyNumberFormat="1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center" vertical="center" wrapText="1"/>
    </xf>
    <xf numFmtId="0" fontId="12" fillId="11" borderId="14" xfId="0" applyFont="1" applyFill="1" applyBorder="1" applyAlignment="1">
      <alignment horizontal="center" vertical="center" wrapText="1"/>
    </xf>
    <xf numFmtId="14" fontId="12" fillId="11" borderId="14" xfId="0" applyNumberFormat="1" applyFont="1" applyFill="1" applyBorder="1" applyAlignment="1">
      <alignment horizontal="center" vertical="center"/>
    </xf>
    <xf numFmtId="20" fontId="12" fillId="0" borderId="14" xfId="0" applyNumberFormat="1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2" fontId="12" fillId="6" borderId="50" xfId="0" applyNumberFormat="1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11" borderId="21" xfId="0" applyFont="1" applyFill="1" applyBorder="1" applyAlignment="1">
      <alignment horizontal="center" vertical="center" wrapText="1"/>
    </xf>
    <xf numFmtId="0" fontId="12" fillId="11" borderId="35" xfId="0" applyFont="1" applyFill="1" applyBorder="1" applyAlignment="1">
      <alignment horizontal="center" vertical="center"/>
    </xf>
    <xf numFmtId="14" fontId="12" fillId="11" borderId="21" xfId="0" applyNumberFormat="1" applyFont="1" applyFill="1" applyBorder="1" applyAlignment="1">
      <alignment horizontal="center" vertical="center"/>
    </xf>
    <xf numFmtId="20" fontId="12" fillId="0" borderId="21" xfId="0" applyNumberFormat="1" applyFont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3" fillId="0" borderId="52" xfId="0" applyFont="1" applyBorder="1">
      <alignment vertical="center"/>
    </xf>
    <xf numFmtId="0" fontId="4" fillId="0" borderId="52" xfId="0" applyFont="1" applyBorder="1">
      <alignment vertical="center"/>
    </xf>
    <xf numFmtId="0" fontId="8" fillId="0" borderId="52" xfId="0" applyFont="1" applyBorder="1">
      <alignment vertical="center"/>
    </xf>
    <xf numFmtId="0" fontId="12" fillId="0" borderId="24" xfId="0" applyFont="1" applyBorder="1" applyAlignment="1">
      <alignment horizontal="center" vertical="center"/>
    </xf>
    <xf numFmtId="14" fontId="12" fillId="0" borderId="14" xfId="0" applyNumberFormat="1" applyFont="1" applyBorder="1" applyAlignment="1">
      <alignment horizontal="center" vertical="center"/>
    </xf>
    <xf numFmtId="9" fontId="12" fillId="0" borderId="14" xfId="0" applyNumberFormat="1" applyFont="1" applyBorder="1" applyAlignment="1">
      <alignment horizontal="center" vertical="center"/>
    </xf>
    <xf numFmtId="0" fontId="12" fillId="5" borderId="54" xfId="0" applyFont="1" applyFill="1" applyBorder="1" applyAlignment="1">
      <alignment horizontal="right" vertical="center"/>
    </xf>
    <xf numFmtId="0" fontId="12" fillId="5" borderId="62" xfId="0" applyFont="1" applyFill="1" applyBorder="1" applyAlignment="1">
      <alignment horizontal="left" vertical="center"/>
    </xf>
    <xf numFmtId="0" fontId="12" fillId="0" borderId="54" xfId="0" applyFont="1" applyBorder="1" applyAlignment="1">
      <alignment horizontal="right" vertical="center"/>
    </xf>
    <xf numFmtId="0" fontId="12" fillId="0" borderId="63" xfId="0" applyFont="1" applyBorder="1" applyAlignment="1">
      <alignment horizontal="left" vertical="center"/>
    </xf>
    <xf numFmtId="0" fontId="12" fillId="5" borderId="62" xfId="0" applyFont="1" applyFill="1" applyBorder="1">
      <alignment vertical="center"/>
    </xf>
    <xf numFmtId="0" fontId="12" fillId="5" borderId="64" xfId="0" applyFont="1" applyFill="1" applyBorder="1" applyAlignment="1">
      <alignment horizontal="left" vertical="center"/>
    </xf>
    <xf numFmtId="180" fontId="12" fillId="0" borderId="1" xfId="0" applyNumberFormat="1" applyFont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12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2" fontId="12" fillId="0" borderId="9" xfId="0" applyNumberFormat="1" applyFont="1" applyBorder="1" applyAlignment="1">
      <alignment horizontal="center" vertical="center"/>
    </xf>
    <xf numFmtId="2" fontId="12" fillId="0" borderId="23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" fontId="12" fillId="0" borderId="40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0" fontId="11" fillId="5" borderId="1" xfId="0" applyNumberFormat="1" applyFon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4" fontId="11" fillId="0" borderId="0" xfId="0" quotePrefix="1" applyNumberFormat="1" applyFont="1" applyAlignment="1">
      <alignment horizontal="center" vertical="center" wrapText="1"/>
    </xf>
    <xf numFmtId="0" fontId="9" fillId="5" borderId="68" xfId="0" applyFont="1" applyFill="1" applyBorder="1">
      <alignment vertical="center"/>
    </xf>
    <xf numFmtId="0" fontId="9" fillId="5" borderId="69" xfId="0" applyFont="1" applyFill="1" applyBorder="1">
      <alignment vertical="center"/>
    </xf>
    <xf numFmtId="0" fontId="9" fillId="5" borderId="70" xfId="0" applyFont="1" applyFill="1" applyBorder="1">
      <alignment vertical="center"/>
    </xf>
    <xf numFmtId="0" fontId="9" fillId="5" borderId="71" xfId="0" applyFont="1" applyFill="1" applyBorder="1">
      <alignment vertical="center"/>
    </xf>
    <xf numFmtId="0" fontId="19" fillId="3" borderId="10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176" fontId="12" fillId="0" borderId="14" xfId="0" applyNumberFormat="1" applyFont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8" borderId="12" xfId="0" applyFont="1" applyFill="1" applyBorder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179" fontId="12" fillId="0" borderId="23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176" fontId="12" fillId="0" borderId="21" xfId="0" applyNumberFormat="1" applyFont="1" applyBorder="1" applyAlignment="1">
      <alignment horizontal="center" vertical="center"/>
    </xf>
    <xf numFmtId="179" fontId="12" fillId="0" borderId="21" xfId="0" applyNumberFormat="1" applyFont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2" fontId="12" fillId="6" borderId="13" xfId="0" applyNumberFormat="1" applyFont="1" applyFill="1" applyBorder="1" applyAlignment="1">
      <alignment horizontal="center" vertical="center"/>
    </xf>
    <xf numFmtId="2" fontId="12" fillId="0" borderId="22" xfId="0" applyNumberFormat="1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14" fontId="12" fillId="11" borderId="33" xfId="0" applyNumberFormat="1" applyFont="1" applyFill="1" applyBorder="1" applyAlignment="1">
      <alignment horizontal="center" vertical="center"/>
    </xf>
    <xf numFmtId="20" fontId="12" fillId="0" borderId="33" xfId="0" applyNumberFormat="1" applyFont="1" applyBorder="1" applyAlignment="1">
      <alignment horizontal="center" vertical="center"/>
    </xf>
    <xf numFmtId="179" fontId="12" fillId="0" borderId="33" xfId="0" applyNumberFormat="1" applyFont="1" applyBorder="1" applyAlignment="1">
      <alignment horizontal="center" vertical="center"/>
    </xf>
    <xf numFmtId="2" fontId="12" fillId="0" borderId="24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14" fontId="12" fillId="11" borderId="9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2" fontId="20" fillId="6" borderId="22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9" fontId="12" fillId="0" borderId="14" xfId="0" applyNumberFormat="1" applyFont="1" applyBorder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81" fontId="12" fillId="0" borderId="23" xfId="0" applyNumberFormat="1" applyFont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5" borderId="29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14" fontId="12" fillId="2" borderId="21" xfId="0" applyNumberFormat="1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14" fontId="12" fillId="2" borderId="9" xfId="0" applyNumberFormat="1" applyFont="1" applyFill="1" applyBorder="1" applyAlignment="1">
      <alignment horizontal="center" vertical="center"/>
    </xf>
    <xf numFmtId="14" fontId="12" fillId="2" borderId="23" xfId="0" applyNumberFormat="1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8" fillId="0" borderId="52" xfId="0" applyFont="1" applyBorder="1" applyAlignment="1">
      <alignment horizontal="right" vertical="center"/>
    </xf>
    <xf numFmtId="0" fontId="8" fillId="0" borderId="53" xfId="0" applyFont="1" applyBorder="1" applyAlignment="1">
      <alignment horizontal="right" vertical="center"/>
    </xf>
    <xf numFmtId="0" fontId="12" fillId="5" borderId="65" xfId="0" applyFont="1" applyFill="1" applyBorder="1" applyAlignment="1">
      <alignment horizontal="center" vertical="center"/>
    </xf>
    <xf numFmtId="0" fontId="12" fillId="5" borderId="66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0" fontId="12" fillId="5" borderId="67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61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2" borderId="35" xfId="0" applyNumberFormat="1" applyFill="1" applyBorder="1" applyAlignment="1">
      <alignment horizontal="center" vertical="center"/>
    </xf>
    <xf numFmtId="14" fontId="0" fillId="2" borderId="33" xfId="0" applyNumberForma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</cellXfs>
  <cellStyles count="2">
    <cellStyle name="표준" xfId="0" builtinId="0"/>
    <cellStyle name="표준 2" xfId="1" xr:uid="{A05BC824-2236-4589-A8FC-CDC35EC5535A}"/>
  </cellStyles>
  <dxfs count="0"/>
  <tableStyles count="0" defaultTableStyle="TableStyleMedium2" defaultPivotStyle="PivotStyleLight16"/>
  <colors>
    <mruColors>
      <color rgb="FF0000FF"/>
      <color rgb="FFFF99CC"/>
      <color rgb="FFFFF3FF"/>
      <color rgb="FFF6EEF4"/>
      <color rgb="FFFFE5FF"/>
      <color rgb="FFDDDD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04BA-398E-404A-910C-CF25F35BFEFE}">
  <dimension ref="A1:XEG62"/>
  <sheetViews>
    <sheetView tabSelected="1" view="pageBreakPreview" zoomScale="70" zoomScaleNormal="55" zoomScaleSheetLayoutView="70" zoomScalePageLayoutView="70" workbookViewId="0">
      <pane xSplit="2" ySplit="13" topLeftCell="C14" activePane="bottomRight" state="frozen"/>
      <selection pane="topRight" activeCell="D1" sqref="D1"/>
      <selection pane="bottomLeft" activeCell="A12" sqref="A12"/>
      <selection pane="bottomRight" activeCell="B2" sqref="B2:N3"/>
    </sheetView>
  </sheetViews>
  <sheetFormatPr defaultColWidth="9" defaultRowHeight="16.5" x14ac:dyDescent="0.3"/>
  <cols>
    <col min="1" max="1" width="9" style="61"/>
    <col min="2" max="2" width="18.375" style="62" bestFit="1" customWidth="1"/>
    <col min="3" max="3" width="19.625" style="62" customWidth="1"/>
    <col min="4" max="4" width="28.25" style="62" customWidth="1"/>
    <col min="5" max="5" width="19.625" style="62" customWidth="1"/>
    <col min="6" max="6" width="16.875" style="61" customWidth="1"/>
    <col min="7" max="10" width="16" style="62" customWidth="1"/>
    <col min="11" max="11" width="16" style="147" customWidth="1"/>
    <col min="12" max="14" width="16" style="62" customWidth="1"/>
    <col min="15" max="16" width="16.375" style="62" customWidth="1"/>
    <col min="17" max="17" width="16.375" style="61" customWidth="1"/>
    <col min="18" max="18" width="16.375" style="62" customWidth="1"/>
    <col min="19" max="19" width="13" style="62" bestFit="1" customWidth="1"/>
    <col min="20" max="20" width="12.25" style="62" bestFit="1" customWidth="1"/>
    <col min="21" max="21" width="10.25" style="62" bestFit="1" customWidth="1"/>
    <col min="22" max="16384" width="9" style="62"/>
  </cols>
  <sheetData>
    <row r="1" spans="1:22" ht="17.25" thickBot="1" x14ac:dyDescent="0.35"/>
    <row r="2" spans="1:22" ht="17.25" thickBot="1" x14ac:dyDescent="0.35">
      <c r="B2" s="264" t="s">
        <v>0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150" t="s">
        <v>123</v>
      </c>
      <c r="P2" s="151" t="s">
        <v>172</v>
      </c>
    </row>
    <row r="3" spans="1:22" ht="30" customHeight="1" thickBot="1" x14ac:dyDescent="0.35"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160" t="s">
        <v>125</v>
      </c>
      <c r="P3" s="161" t="s">
        <v>157</v>
      </c>
      <c r="Q3" s="161" t="s">
        <v>126</v>
      </c>
      <c r="R3" s="162" t="s">
        <v>137</v>
      </c>
    </row>
    <row r="4" spans="1:22" ht="51.95" customHeight="1" x14ac:dyDescent="0.3">
      <c r="B4" s="72" t="s">
        <v>1</v>
      </c>
      <c r="C4" s="289" t="s">
        <v>183</v>
      </c>
      <c r="D4" s="290"/>
      <c r="E4" s="228" t="s">
        <v>2</v>
      </c>
      <c r="F4" s="279" t="s">
        <v>170</v>
      </c>
      <c r="G4" s="280"/>
      <c r="H4" s="281"/>
      <c r="I4" s="73" t="s">
        <v>136</v>
      </c>
      <c r="J4" s="279" t="s">
        <v>171</v>
      </c>
      <c r="K4" s="281"/>
      <c r="L4" s="73" t="s">
        <v>3</v>
      </c>
      <c r="M4" s="277" t="s">
        <v>169</v>
      </c>
      <c r="N4" s="278"/>
      <c r="O4" s="61"/>
      <c r="P4" s="61"/>
    </row>
    <row r="5" spans="1:22" ht="20.100000000000001" customHeight="1" x14ac:dyDescent="0.3">
      <c r="B5" s="293" t="s">
        <v>4</v>
      </c>
      <c r="C5" s="230" t="s">
        <v>5</v>
      </c>
      <c r="D5" s="230" t="s">
        <v>6</v>
      </c>
      <c r="E5" s="265" t="s">
        <v>7</v>
      </c>
      <c r="F5" s="274"/>
      <c r="G5" s="265" t="s">
        <v>8</v>
      </c>
      <c r="H5" s="275"/>
      <c r="I5" s="276" t="s">
        <v>9</v>
      </c>
      <c r="J5" s="275"/>
      <c r="K5" s="265" t="s">
        <v>10</v>
      </c>
      <c r="L5" s="274"/>
      <c r="M5" s="265" t="s">
        <v>133</v>
      </c>
      <c r="N5" s="266"/>
      <c r="O5" s="225" t="s">
        <v>121</v>
      </c>
      <c r="P5" s="60" t="s">
        <v>115</v>
      </c>
      <c r="Q5" s="60" t="s">
        <v>120</v>
      </c>
      <c r="R5" s="60" t="s">
        <v>134</v>
      </c>
      <c r="S5" s="60" t="s">
        <v>115</v>
      </c>
      <c r="T5" s="60" t="s">
        <v>120</v>
      </c>
    </row>
    <row r="6" spans="1:22" ht="20.100000000000001" customHeight="1" x14ac:dyDescent="0.3">
      <c r="B6" s="283"/>
      <c r="C6" s="74">
        <v>46322</v>
      </c>
      <c r="D6" s="75" t="s">
        <v>158</v>
      </c>
      <c r="E6" s="76">
        <v>24.8</v>
      </c>
      <c r="F6" s="77" t="s">
        <v>11</v>
      </c>
      <c r="G6" s="76">
        <v>36</v>
      </c>
      <c r="H6" s="77" t="s">
        <v>12</v>
      </c>
      <c r="I6" s="78">
        <v>770</v>
      </c>
      <c r="J6" s="79" t="s">
        <v>13</v>
      </c>
      <c r="K6" s="76" t="s">
        <v>173</v>
      </c>
      <c r="L6" s="80" t="s">
        <v>107</v>
      </c>
      <c r="M6" s="76">
        <v>2.2999999999999998</v>
      </c>
      <c r="N6" s="81" t="s">
        <v>14</v>
      </c>
      <c r="O6" s="244" t="s">
        <v>111</v>
      </c>
      <c r="P6" s="207" t="s">
        <v>116</v>
      </c>
      <c r="Q6" s="208">
        <v>0.99099999999999999</v>
      </c>
      <c r="R6" s="207" t="s">
        <v>111</v>
      </c>
      <c r="S6" s="207">
        <v>1910122</v>
      </c>
      <c r="T6" s="208">
        <v>0.98570000000000002</v>
      </c>
      <c r="U6" s="210" t="s">
        <v>138</v>
      </c>
    </row>
    <row r="7" spans="1:22" ht="20.100000000000001" customHeight="1" x14ac:dyDescent="0.3">
      <c r="B7" s="283"/>
      <c r="C7" s="74">
        <v>46323</v>
      </c>
      <c r="D7" s="75" t="s">
        <v>158</v>
      </c>
      <c r="E7" s="76">
        <v>28.9</v>
      </c>
      <c r="F7" s="77" t="s">
        <v>11</v>
      </c>
      <c r="G7" s="76">
        <v>25</v>
      </c>
      <c r="H7" s="77" t="s">
        <v>12</v>
      </c>
      <c r="I7" s="78">
        <v>778</v>
      </c>
      <c r="J7" s="84" t="s">
        <v>13</v>
      </c>
      <c r="K7" s="76" t="s">
        <v>181</v>
      </c>
      <c r="L7" s="80" t="s">
        <v>107</v>
      </c>
      <c r="M7" s="76">
        <v>2.5</v>
      </c>
      <c r="N7" s="81" t="s">
        <v>14</v>
      </c>
      <c r="O7" s="225" t="s">
        <v>112</v>
      </c>
      <c r="P7" s="60" t="s">
        <v>117</v>
      </c>
      <c r="Q7" s="82">
        <v>0.99399999999999999</v>
      </c>
      <c r="R7" s="60" t="s">
        <v>112</v>
      </c>
      <c r="S7" s="60">
        <v>1910123</v>
      </c>
      <c r="T7" s="82">
        <v>1.0036</v>
      </c>
    </row>
    <row r="8" spans="1:22" ht="20.100000000000001" customHeight="1" x14ac:dyDescent="0.3">
      <c r="B8" s="283"/>
      <c r="C8" s="74"/>
      <c r="D8" s="75"/>
      <c r="E8" s="76"/>
      <c r="F8" s="77" t="s">
        <v>11</v>
      </c>
      <c r="G8" s="76"/>
      <c r="H8" s="77" t="s">
        <v>12</v>
      </c>
      <c r="I8" s="78"/>
      <c r="J8" s="84" t="s">
        <v>13</v>
      </c>
      <c r="K8" s="76"/>
      <c r="L8" s="80" t="s">
        <v>107</v>
      </c>
      <c r="M8" s="76"/>
      <c r="N8" s="81" t="s">
        <v>14</v>
      </c>
      <c r="O8" s="225" t="s">
        <v>113</v>
      </c>
      <c r="P8" s="60" t="s">
        <v>118</v>
      </c>
      <c r="Q8" s="60">
        <v>1.0078</v>
      </c>
      <c r="R8" s="60" t="s">
        <v>113</v>
      </c>
      <c r="S8" s="60">
        <v>1910124</v>
      </c>
      <c r="T8" s="60">
        <v>0.99850000000000005</v>
      </c>
    </row>
    <row r="9" spans="1:22" ht="20.100000000000001" customHeight="1" x14ac:dyDescent="0.3">
      <c r="B9" s="283"/>
      <c r="C9" s="188"/>
      <c r="D9" s="189"/>
      <c r="E9" s="190"/>
      <c r="F9" s="191" t="s">
        <v>11</v>
      </c>
      <c r="G9" s="190"/>
      <c r="H9" s="191" t="s">
        <v>12</v>
      </c>
      <c r="I9" s="192"/>
      <c r="J9" s="193" t="s">
        <v>13</v>
      </c>
      <c r="K9" s="190"/>
      <c r="L9" s="194" t="s">
        <v>107</v>
      </c>
      <c r="M9" s="190"/>
      <c r="N9" s="195" t="s">
        <v>14</v>
      </c>
      <c r="O9" s="225" t="s">
        <v>114</v>
      </c>
      <c r="P9" s="60" t="s">
        <v>119</v>
      </c>
      <c r="Q9" s="60">
        <v>0.99760000000000004</v>
      </c>
      <c r="R9" s="60" t="s">
        <v>114</v>
      </c>
      <c r="S9" s="60">
        <v>1910125</v>
      </c>
      <c r="T9" s="60">
        <v>0.98919999999999997</v>
      </c>
    </row>
    <row r="10" spans="1:22" ht="20.100000000000001" customHeight="1" thickBot="1" x14ac:dyDescent="0.35">
      <c r="B10" s="284"/>
      <c r="C10" s="85"/>
      <c r="D10" s="86"/>
      <c r="E10" s="87"/>
      <c r="F10" s="88"/>
      <c r="G10" s="87"/>
      <c r="H10" s="88"/>
      <c r="I10" s="89"/>
      <c r="J10" s="90"/>
      <c r="K10" s="87"/>
      <c r="L10" s="91"/>
      <c r="M10" s="87"/>
      <c r="N10" s="92"/>
      <c r="O10" s="225" t="s">
        <v>130</v>
      </c>
      <c r="P10" s="60" t="s">
        <v>131</v>
      </c>
      <c r="Q10" s="196">
        <v>1</v>
      </c>
      <c r="R10" s="60" t="s">
        <v>130</v>
      </c>
      <c r="S10" s="60" t="s">
        <v>135</v>
      </c>
      <c r="T10" s="196">
        <v>1</v>
      </c>
    </row>
    <row r="11" spans="1:22" s="61" customFormat="1" ht="20.100000000000001" customHeight="1" x14ac:dyDescent="0.3">
      <c r="B11" s="267" t="s">
        <v>15</v>
      </c>
      <c r="C11" s="269" t="s">
        <v>16</v>
      </c>
      <c r="D11" s="271" t="s">
        <v>78</v>
      </c>
      <c r="E11" s="271" t="s">
        <v>17</v>
      </c>
      <c r="F11" s="269" t="s">
        <v>18</v>
      </c>
      <c r="G11" s="269"/>
      <c r="H11" s="269"/>
      <c r="I11" s="269" t="s">
        <v>19</v>
      </c>
      <c r="J11" s="269"/>
      <c r="K11" s="269"/>
      <c r="L11" s="269" t="s">
        <v>91</v>
      </c>
      <c r="M11" s="269"/>
      <c r="N11" s="273"/>
      <c r="O11" s="302" t="s">
        <v>20</v>
      </c>
      <c r="P11" s="274"/>
      <c r="Q11" s="274"/>
      <c r="R11" s="93"/>
      <c r="S11" s="294" t="s">
        <v>79</v>
      </c>
      <c r="T11" s="296" t="s">
        <v>21</v>
      </c>
    </row>
    <row r="12" spans="1:22" s="61" customFormat="1" ht="20.100000000000001" customHeight="1" thickBot="1" x14ac:dyDescent="0.35">
      <c r="B12" s="268"/>
      <c r="C12" s="270"/>
      <c r="D12" s="270"/>
      <c r="E12" s="272"/>
      <c r="F12" s="95" t="s">
        <v>22</v>
      </c>
      <c r="G12" s="95" t="s">
        <v>23</v>
      </c>
      <c r="H12" s="95" t="s">
        <v>24</v>
      </c>
      <c r="I12" s="95" t="s">
        <v>25</v>
      </c>
      <c r="J12" s="95" t="s">
        <v>26</v>
      </c>
      <c r="K12" s="96" t="s">
        <v>27</v>
      </c>
      <c r="L12" s="95" t="s">
        <v>28</v>
      </c>
      <c r="M12" s="95" t="s">
        <v>29</v>
      </c>
      <c r="N12" s="97" t="s">
        <v>30</v>
      </c>
      <c r="O12" s="98" t="s">
        <v>31</v>
      </c>
      <c r="P12" s="95" t="s">
        <v>27</v>
      </c>
      <c r="Q12" s="99" t="s">
        <v>110</v>
      </c>
      <c r="R12" s="100"/>
      <c r="S12" s="295"/>
      <c r="T12" s="297"/>
    </row>
    <row r="13" spans="1:22" ht="17.25" thickTop="1" x14ac:dyDescent="0.3">
      <c r="A13" s="61" t="s">
        <v>32</v>
      </c>
      <c r="B13" s="163" t="s">
        <v>33</v>
      </c>
      <c r="C13" s="249" t="s">
        <v>175</v>
      </c>
      <c r="D13" s="164" t="str">
        <f>IF(C13="","",TEXT($C$6,"mmdd")&amp;"-"&amp;$P$2&amp;"-"&amp;$M$4&amp;"-"&amp;A13&amp;"-1")</f>
        <v>1027-GSP-#A-30-P-1</v>
      </c>
      <c r="E13" s="165" t="str">
        <f>IF(C13="","",$P$3)</f>
        <v>입자샘플러4</v>
      </c>
      <c r="F13" s="166">
        <f>IF(C13="","",$C$6)</f>
        <v>46322</v>
      </c>
      <c r="G13" s="117">
        <v>0.59097222222222223</v>
      </c>
      <c r="H13" s="167">
        <v>0.63263888888888886</v>
      </c>
      <c r="I13" s="254">
        <v>5572.68</v>
      </c>
      <c r="J13" s="254">
        <v>6773.53</v>
      </c>
      <c r="K13" s="206">
        <f>IF($I13="","",(J13-I13)*$Q$9)</f>
        <v>1197.9679599999995</v>
      </c>
      <c r="L13" s="101"/>
      <c r="M13" s="101"/>
      <c r="N13" s="102" t="str">
        <f>IF(M13="","",M13/10332.275*760)</f>
        <v/>
      </c>
      <c r="O13" s="103"/>
      <c r="P13" s="104">
        <v>1000</v>
      </c>
      <c r="Q13" s="71"/>
      <c r="S13" s="105">
        <v>2</v>
      </c>
      <c r="T13" s="64">
        <f>IF(F13="","",(WORKDAY(F13,DAY(S13),0)))</f>
        <v>46324</v>
      </c>
      <c r="V13" s="106"/>
    </row>
    <row r="14" spans="1:22" x14ac:dyDescent="0.3">
      <c r="A14" s="61" t="s">
        <v>95</v>
      </c>
      <c r="B14" s="107" t="s">
        <v>46</v>
      </c>
      <c r="C14" s="291" t="s">
        <v>168</v>
      </c>
      <c r="D14" s="148" t="str">
        <f>IF(C14="","",TEXT($C$6,"mmdd")&amp;"-"&amp;$P$2&amp;"-"&amp;$M$4&amp;"-"&amp;A14&amp;"-1~3")</f>
        <v>1027-GSP-#A-30-G-1~3</v>
      </c>
      <c r="E14" s="154" t="str">
        <f>IF(C14="","","가스분석기")</f>
        <v>가스분석기</v>
      </c>
      <c r="F14" s="155">
        <f>IF(C14="","",$C$6)</f>
        <v>46322</v>
      </c>
      <c r="G14" s="108">
        <v>0.4826388888888889</v>
      </c>
      <c r="H14" s="108">
        <v>0.49305555555555558</v>
      </c>
      <c r="I14" s="109"/>
      <c r="J14" s="109"/>
      <c r="K14" s="109"/>
      <c r="L14" s="109"/>
      <c r="M14" s="109"/>
      <c r="N14" s="110"/>
      <c r="O14" s="111"/>
      <c r="P14" s="112"/>
      <c r="Q14" s="60">
        <v>15</v>
      </c>
      <c r="S14" s="113" t="s">
        <v>80</v>
      </c>
      <c r="T14" s="114" t="s">
        <v>80</v>
      </c>
      <c r="V14" s="106" t="str">
        <f t="shared" ref="V14:V57" si="0">IF(K14="","",K14*(273/(273+$L14))*($I$6+$N14)/760)</f>
        <v/>
      </c>
    </row>
    <row r="15" spans="1:22" x14ac:dyDescent="0.3">
      <c r="A15" s="61" t="s">
        <v>95</v>
      </c>
      <c r="B15" s="107" t="s">
        <v>45</v>
      </c>
      <c r="C15" s="292"/>
      <c r="D15" s="148" t="str">
        <f>IF(C15="","",TEXT($C$6,"mmdd")&amp;"-"&amp;$P$2&amp;"-"&amp;$M$4&amp;"-"&amp;A15&amp;"-1~3")</f>
        <v/>
      </c>
      <c r="E15" s="154" t="str">
        <f>IF(C15="","","가스분석기")</f>
        <v/>
      </c>
      <c r="F15" s="155" t="str">
        <f t="shared" ref="F15:F57" si="1">IF(C15="","",$C$6)</f>
        <v/>
      </c>
      <c r="G15" s="108"/>
      <c r="H15" s="108"/>
      <c r="I15" s="109"/>
      <c r="J15" s="109"/>
      <c r="K15" s="109"/>
      <c r="L15" s="109"/>
      <c r="M15" s="109"/>
      <c r="N15" s="110"/>
      <c r="O15" s="111"/>
      <c r="P15" s="112"/>
      <c r="Q15" s="60">
        <v>15</v>
      </c>
      <c r="S15" s="113" t="s">
        <v>80</v>
      </c>
      <c r="T15" s="114" t="s">
        <v>80</v>
      </c>
      <c r="V15" s="106" t="str">
        <f t="shared" si="0"/>
        <v/>
      </c>
    </row>
    <row r="16" spans="1:22" x14ac:dyDescent="0.3">
      <c r="A16" s="61" t="s">
        <v>95</v>
      </c>
      <c r="B16" s="107" t="s">
        <v>44</v>
      </c>
      <c r="C16" s="60"/>
      <c r="D16" s="148" t="str">
        <f>IF(C16="","",TEXT($C$6,"mmdd")&amp;"-"&amp;$P$2&amp;"-"&amp;$M$4&amp;"-"&amp;A16&amp;"-1")</f>
        <v/>
      </c>
      <c r="E16" s="154" t="str">
        <f>IF(C16="","","가스분석기")</f>
        <v/>
      </c>
      <c r="F16" s="155" t="str">
        <f t="shared" si="1"/>
        <v/>
      </c>
      <c r="G16" s="108"/>
      <c r="H16" s="108"/>
      <c r="I16" s="109"/>
      <c r="J16" s="109"/>
      <c r="K16" s="109"/>
      <c r="L16" s="109"/>
      <c r="M16" s="109"/>
      <c r="N16" s="110"/>
      <c r="O16" s="111"/>
      <c r="P16" s="112"/>
      <c r="Q16" s="60">
        <v>15</v>
      </c>
      <c r="S16" s="115" t="s">
        <v>80</v>
      </c>
      <c r="T16" s="116" t="s">
        <v>80</v>
      </c>
      <c r="V16" s="106" t="str">
        <f t="shared" si="0"/>
        <v/>
      </c>
    </row>
    <row r="17" spans="1:26" x14ac:dyDescent="0.3">
      <c r="A17" s="61" t="s">
        <v>48</v>
      </c>
      <c r="B17" s="107" t="s">
        <v>108</v>
      </c>
      <c r="C17" s="291" t="s">
        <v>176</v>
      </c>
      <c r="D17" s="148" t="str">
        <f>IF(C17="","",TEXT($C$7,"mmdd")&amp;"-"&amp;$P$2&amp;"-"&amp;$M$4&amp;"-"&amp;A17&amp;"-BA-1")</f>
        <v>1028-GSP-#A-30-NH3-BA-1</v>
      </c>
      <c r="E17" s="154" t="str">
        <f>IF(C17="","",$R$3)</f>
        <v>가스샘플러1</v>
      </c>
      <c r="F17" s="155">
        <f>IF(C17="","",$C$7)</f>
        <v>46323</v>
      </c>
      <c r="G17" s="117">
        <v>0.4777777777777778</v>
      </c>
      <c r="H17" s="117">
        <v>0.48680555555555555</v>
      </c>
      <c r="I17" s="118">
        <v>2109.15</v>
      </c>
      <c r="J17" s="118">
        <v>2129.5</v>
      </c>
      <c r="K17" s="146">
        <f>IF(I17="","",(J17-I17)*$T$6)</f>
        <v>20.058994999999911</v>
      </c>
      <c r="L17" s="70">
        <v>25</v>
      </c>
      <c r="M17" s="70">
        <v>20</v>
      </c>
      <c r="N17" s="119">
        <f t="shared" ref="N17:N23" si="2">IF(M17="","",M17/13.6)</f>
        <v>1.4705882352941178</v>
      </c>
      <c r="O17" s="65" t="s">
        <v>49</v>
      </c>
      <c r="P17" s="60">
        <v>20</v>
      </c>
      <c r="Q17" s="60">
        <v>20</v>
      </c>
      <c r="S17" s="63">
        <v>3</v>
      </c>
      <c r="T17" s="64">
        <f>IF(F17="","",(WORKDAY(F17,DAY(S17),0)))</f>
        <v>46328</v>
      </c>
      <c r="V17" s="106">
        <f t="shared" si="0"/>
        <v>18.653543074320208</v>
      </c>
    </row>
    <row r="18" spans="1:26" x14ac:dyDescent="0.3">
      <c r="A18" s="61" t="s">
        <v>48</v>
      </c>
      <c r="B18" s="107" t="s">
        <v>109</v>
      </c>
      <c r="C18" s="292"/>
      <c r="D18" s="148" t="str">
        <f>IF($C$17="","",TEXT($C$7,"mmdd")&amp;"-"&amp;$P$2&amp;"-"&amp;$M$4&amp;"-"&amp;A18&amp;"-H2O2-1")</f>
        <v>1028-GSP-#A-30-NH3-H2O2-1</v>
      </c>
      <c r="E18" s="154" t="str">
        <f>IF(C17="","",$R$3)</f>
        <v>가스샘플러1</v>
      </c>
      <c r="F18" s="155">
        <f>IF(C17="","",$C$7)</f>
        <v>46323</v>
      </c>
      <c r="G18" s="117">
        <v>0.48749999999999999</v>
      </c>
      <c r="H18" s="117">
        <v>0.49583333333333335</v>
      </c>
      <c r="I18" s="118">
        <v>2129.5</v>
      </c>
      <c r="J18" s="118">
        <v>2150.1</v>
      </c>
      <c r="K18" s="146">
        <f t="shared" ref="K18:K24" si="3">IF(I18="","",(J18-I18)*$T$6)</f>
        <v>20.305419999999909</v>
      </c>
      <c r="L18" s="70">
        <v>25</v>
      </c>
      <c r="M18" s="70">
        <v>20</v>
      </c>
      <c r="N18" s="119">
        <f t="shared" si="2"/>
        <v>1.4705882352941178</v>
      </c>
      <c r="O18" s="65" t="s">
        <v>49</v>
      </c>
      <c r="P18" s="60">
        <v>20</v>
      </c>
      <c r="Q18" s="60">
        <v>20</v>
      </c>
      <c r="S18" s="63">
        <v>3</v>
      </c>
      <c r="T18" s="64">
        <f>IF(F18="","",(WORKDAY(F18,DAY(S18),0)))</f>
        <v>46328</v>
      </c>
      <c r="V18" s="106">
        <f t="shared" si="0"/>
        <v>18.882702080147233</v>
      </c>
    </row>
    <row r="19" spans="1:26" x14ac:dyDescent="0.3">
      <c r="A19" s="61" t="s">
        <v>50</v>
      </c>
      <c r="B19" s="107" t="s">
        <v>103</v>
      </c>
      <c r="C19" s="60"/>
      <c r="D19" s="148" t="str">
        <f t="shared" ref="D19:D30" si="4">IF(C19="","",TEXT($C$6,"mmdd")&amp;"-"&amp;$P$2&amp;"-"&amp;$M$4&amp;"-"&amp;A19&amp;"-1")</f>
        <v/>
      </c>
      <c r="E19" s="154" t="str">
        <f t="shared" ref="E19:E24" si="5">IF(C19="","",$R$3)</f>
        <v/>
      </c>
      <c r="F19" s="155" t="str">
        <f t="shared" si="1"/>
        <v/>
      </c>
      <c r="G19" s="108"/>
      <c r="H19" s="108"/>
      <c r="I19" s="118"/>
      <c r="J19" s="118"/>
      <c r="K19" s="146" t="str">
        <f>IF(I19="","",(J19-I19)*$T$6)</f>
        <v/>
      </c>
      <c r="L19" s="60"/>
      <c r="M19" s="60"/>
      <c r="N19" s="119" t="str">
        <f t="shared" si="2"/>
        <v/>
      </c>
      <c r="O19" s="65">
        <v>1</v>
      </c>
      <c r="P19" s="60">
        <v>40</v>
      </c>
      <c r="Q19" s="60">
        <v>40</v>
      </c>
      <c r="S19" s="63">
        <v>4</v>
      </c>
      <c r="T19" s="64" t="str">
        <f t="shared" ref="T19:T57" si="6">IF(F19="","",(WORKDAY(F19,DAY(S19),0)))</f>
        <v/>
      </c>
      <c r="V19" s="106" t="str">
        <f t="shared" si="0"/>
        <v/>
      </c>
    </row>
    <row r="20" spans="1:26" x14ac:dyDescent="0.3">
      <c r="A20" s="61" t="s">
        <v>51</v>
      </c>
      <c r="B20" s="107" t="s">
        <v>52</v>
      </c>
      <c r="C20" s="60"/>
      <c r="D20" s="148" t="str">
        <f t="shared" si="4"/>
        <v/>
      </c>
      <c r="E20" s="154" t="str">
        <f t="shared" si="5"/>
        <v/>
      </c>
      <c r="F20" s="155" t="str">
        <f t="shared" si="1"/>
        <v/>
      </c>
      <c r="G20" s="108"/>
      <c r="H20" s="108"/>
      <c r="I20" s="118"/>
      <c r="J20" s="118"/>
      <c r="K20" s="146" t="str">
        <f t="shared" si="3"/>
        <v/>
      </c>
      <c r="L20" s="60"/>
      <c r="M20" s="60"/>
      <c r="N20" s="119" t="str">
        <f t="shared" si="2"/>
        <v/>
      </c>
      <c r="O20" s="65">
        <v>1</v>
      </c>
      <c r="P20" s="60">
        <v>20</v>
      </c>
      <c r="Q20" s="60">
        <v>20</v>
      </c>
      <c r="S20" s="63">
        <v>3</v>
      </c>
      <c r="T20" s="64" t="str">
        <f t="shared" si="6"/>
        <v/>
      </c>
      <c r="V20" s="106" t="str">
        <f t="shared" si="0"/>
        <v/>
      </c>
    </row>
    <row r="21" spans="1:26" x14ac:dyDescent="0.3">
      <c r="A21" s="61" t="s">
        <v>53</v>
      </c>
      <c r="B21" s="107" t="s">
        <v>54</v>
      </c>
      <c r="C21" s="60" t="s">
        <v>168</v>
      </c>
      <c r="D21" s="148" t="str">
        <f t="shared" si="4"/>
        <v>1027-GSP-#A-30-H2S-1</v>
      </c>
      <c r="E21" s="154" t="str">
        <f t="shared" si="5"/>
        <v>가스샘플러1</v>
      </c>
      <c r="F21" s="155">
        <f t="shared" si="1"/>
        <v>46322</v>
      </c>
      <c r="G21" s="108">
        <v>0.5493055555555556</v>
      </c>
      <c r="H21" s="108">
        <v>0.56458333333333333</v>
      </c>
      <c r="I21" s="118">
        <v>2088.5</v>
      </c>
      <c r="J21" s="118">
        <v>2109.1</v>
      </c>
      <c r="K21" s="146">
        <f t="shared" si="3"/>
        <v>20.305419999999909</v>
      </c>
      <c r="L21" s="60">
        <v>29</v>
      </c>
      <c r="M21" s="60">
        <v>18</v>
      </c>
      <c r="N21" s="119">
        <f t="shared" si="2"/>
        <v>1.3235294117647058</v>
      </c>
      <c r="O21" s="65">
        <v>1</v>
      </c>
      <c r="P21" s="60">
        <v>20</v>
      </c>
      <c r="Q21" s="60">
        <v>20</v>
      </c>
      <c r="S21" s="63">
        <v>4</v>
      </c>
      <c r="T21" s="64">
        <f t="shared" si="6"/>
        <v>46328</v>
      </c>
      <c r="V21" s="106">
        <f>IF(K21="","",K21*(273/(273+$L21))*($I$6+$N21)/760)</f>
        <v>18.629048293048839</v>
      </c>
      <c r="X21" s="120"/>
      <c r="Y21" s="120"/>
      <c r="Z21" s="83"/>
    </row>
    <row r="22" spans="1:26" x14ac:dyDescent="0.3">
      <c r="A22" s="61" t="s">
        <v>55</v>
      </c>
      <c r="B22" s="107" t="s">
        <v>102</v>
      </c>
      <c r="C22" s="60"/>
      <c r="D22" s="148" t="str">
        <f t="shared" si="4"/>
        <v/>
      </c>
      <c r="E22" s="154" t="str">
        <f t="shared" si="5"/>
        <v/>
      </c>
      <c r="F22" s="155" t="str">
        <f t="shared" si="1"/>
        <v/>
      </c>
      <c r="G22" s="108"/>
      <c r="H22" s="108"/>
      <c r="I22" s="118"/>
      <c r="J22" s="118"/>
      <c r="K22" s="146" t="str">
        <f>IF(I22="","",(J22-I22)*$T$6)</f>
        <v/>
      </c>
      <c r="L22" s="60"/>
      <c r="M22" s="60"/>
      <c r="N22" s="119" t="str">
        <f t="shared" si="2"/>
        <v/>
      </c>
      <c r="O22" s="65">
        <v>1</v>
      </c>
      <c r="P22" s="60">
        <v>10</v>
      </c>
      <c r="Q22" s="60">
        <v>10</v>
      </c>
      <c r="S22" s="63">
        <v>3</v>
      </c>
      <c r="T22" s="121" t="str">
        <f t="shared" si="6"/>
        <v/>
      </c>
      <c r="V22" s="106" t="str">
        <f t="shared" si="0"/>
        <v/>
      </c>
    </row>
    <row r="23" spans="1:26" x14ac:dyDescent="0.3">
      <c r="A23" s="219" t="s">
        <v>154</v>
      </c>
      <c r="B23" s="216" t="s">
        <v>140</v>
      </c>
      <c r="C23" s="60"/>
      <c r="D23" s="148" t="str">
        <f t="shared" ref="D23" si="7">IF(C23="","",TEXT($C$6,"mmdd")&amp;"-"&amp;$P$2&amp;"-"&amp;$M$4&amp;"-"&amp;A23&amp;"-1")</f>
        <v/>
      </c>
      <c r="E23" s="154" t="str">
        <f t="shared" si="5"/>
        <v/>
      </c>
      <c r="F23" s="155" t="str">
        <f t="shared" ref="F23" si="8">IF(C23="","",$C$6)</f>
        <v/>
      </c>
      <c r="G23" s="108"/>
      <c r="H23" s="108"/>
      <c r="I23" s="118"/>
      <c r="J23" s="118"/>
      <c r="K23" s="146" t="str">
        <f t="shared" ref="K23" si="9">IF(I23="","",(J23-I23)*$T$6)</f>
        <v/>
      </c>
      <c r="L23" s="60"/>
      <c r="M23" s="60"/>
      <c r="N23" s="119" t="str">
        <f t="shared" si="2"/>
        <v/>
      </c>
      <c r="O23" s="204">
        <v>1</v>
      </c>
      <c r="P23" s="60">
        <v>10</v>
      </c>
      <c r="Q23" s="60">
        <v>10</v>
      </c>
      <c r="S23" s="63">
        <v>3</v>
      </c>
      <c r="T23" s="121" t="str">
        <f t="shared" ref="T23" si="10">IF(F23="","",(WORKDAY(F23,DAY(S23),0)))</f>
        <v/>
      </c>
      <c r="V23" s="106" t="str">
        <f t="shared" si="0"/>
        <v/>
      </c>
    </row>
    <row r="24" spans="1:26" ht="17.25" thickBot="1" x14ac:dyDescent="0.35">
      <c r="A24" s="61" t="s">
        <v>71</v>
      </c>
      <c r="B24" s="153" t="s">
        <v>72</v>
      </c>
      <c r="C24" s="129"/>
      <c r="D24" s="149" t="str">
        <f t="shared" si="4"/>
        <v/>
      </c>
      <c r="E24" s="156" t="str">
        <f t="shared" si="5"/>
        <v/>
      </c>
      <c r="F24" s="157" t="str">
        <f t="shared" si="1"/>
        <v/>
      </c>
      <c r="G24" s="130"/>
      <c r="H24" s="130"/>
      <c r="I24" s="129"/>
      <c r="J24" s="129"/>
      <c r="K24" s="259" t="str">
        <f t="shared" si="3"/>
        <v/>
      </c>
      <c r="L24" s="131"/>
      <c r="M24" s="131"/>
      <c r="N24" s="132"/>
      <c r="O24" s="65"/>
      <c r="P24" s="60"/>
      <c r="Q24" s="60"/>
      <c r="S24" s="122">
        <v>9</v>
      </c>
      <c r="T24" s="123" t="str">
        <f t="shared" si="6"/>
        <v/>
      </c>
      <c r="V24" s="106" t="str">
        <f>IF(K24="","",K24*(273/(273+$L24))*($I$6+$N24)/760)</f>
        <v/>
      </c>
    </row>
    <row r="25" spans="1:26" x14ac:dyDescent="0.3">
      <c r="A25" s="61" t="s">
        <v>34</v>
      </c>
      <c r="B25" s="233" t="s">
        <v>35</v>
      </c>
      <c r="C25" s="176"/>
      <c r="D25" s="177" t="str">
        <f t="shared" si="4"/>
        <v/>
      </c>
      <c r="E25" s="178" t="str">
        <f t="shared" ref="E25:E32" si="11">IF(C25="","",$P$3)</f>
        <v/>
      </c>
      <c r="F25" s="179" t="str">
        <f t="shared" si="1"/>
        <v/>
      </c>
      <c r="G25" s="234"/>
      <c r="H25" s="234"/>
      <c r="I25" s="258"/>
      <c r="J25" s="258"/>
      <c r="K25" s="258" t="str">
        <f>IF($I25="","",(J25-I25)*$Q$9)</f>
        <v/>
      </c>
      <c r="L25" s="236"/>
      <c r="M25" s="236"/>
      <c r="N25" s="237"/>
      <c r="O25" s="300"/>
      <c r="P25" s="301">
        <v>1000</v>
      </c>
      <c r="Q25" s="60"/>
      <c r="S25" s="105">
        <v>6</v>
      </c>
      <c r="T25" s="64" t="str">
        <f t="shared" si="6"/>
        <v/>
      </c>
      <c r="V25" s="106" t="str">
        <f t="shared" si="0"/>
        <v/>
      </c>
    </row>
    <row r="26" spans="1:26" x14ac:dyDescent="0.3">
      <c r="A26" s="61" t="s">
        <v>34</v>
      </c>
      <c r="B26" s="125" t="s">
        <v>106</v>
      </c>
      <c r="C26" s="60" t="s">
        <v>168</v>
      </c>
      <c r="D26" s="148" t="str">
        <f>IF(C26="","",TEXT($C$7,"mmdd")&amp;"-"&amp;$P$2&amp;"-"&amp;$M$4&amp;"-"&amp;A26&amp;"-1")</f>
        <v>1028-GSP-#A-30-M-1</v>
      </c>
      <c r="E26" s="154" t="str">
        <f t="shared" si="11"/>
        <v>입자샘플러4</v>
      </c>
      <c r="F26" s="155">
        <f>IF(C26="","",$C$7)</f>
        <v>46323</v>
      </c>
      <c r="G26" s="117">
        <v>0.4777777777777778</v>
      </c>
      <c r="H26" s="199">
        <v>0.53333333333333333</v>
      </c>
      <c r="I26" s="201">
        <v>6783.07</v>
      </c>
      <c r="J26" s="201">
        <v>7951.86</v>
      </c>
      <c r="K26" s="201">
        <f>IF($I26="","",(J26-I26)*$Q$9)</f>
        <v>1165.9849039999999</v>
      </c>
      <c r="L26" s="109"/>
      <c r="M26" s="109"/>
      <c r="N26" s="110"/>
      <c r="O26" s="300"/>
      <c r="P26" s="301"/>
      <c r="Q26" s="60"/>
      <c r="S26" s="63">
        <v>6</v>
      </c>
      <c r="T26" s="64">
        <f t="shared" si="6"/>
        <v>46331</v>
      </c>
      <c r="V26" s="106">
        <f t="shared" si="0"/>
        <v>1181.3268106315788</v>
      </c>
    </row>
    <row r="27" spans="1:26" x14ac:dyDescent="0.3">
      <c r="A27" s="61" t="s">
        <v>34</v>
      </c>
      <c r="B27" s="125" t="s">
        <v>37</v>
      </c>
      <c r="C27" s="60" t="s">
        <v>168</v>
      </c>
      <c r="D27" s="148" t="str">
        <f>IF(C27="","",TEXT($C$7,"mmdd")&amp;"-"&amp;$P$2&amp;"-"&amp;$M$4&amp;"-"&amp;A27&amp;"-1")</f>
        <v>1028-GSP-#A-30-M-1</v>
      </c>
      <c r="E27" s="154" t="str">
        <f t="shared" si="11"/>
        <v>입자샘플러4</v>
      </c>
      <c r="F27" s="155">
        <f>IF(C27="","",$C$7)</f>
        <v>46323</v>
      </c>
      <c r="G27" s="117">
        <v>0.4777777777777778</v>
      </c>
      <c r="H27" s="199">
        <v>0.53333333333333333</v>
      </c>
      <c r="I27" s="201">
        <v>6783.07</v>
      </c>
      <c r="J27" s="201">
        <v>7951.86</v>
      </c>
      <c r="K27" s="201">
        <f>IF($I27="","",(J27-I27)*$Q$9)</f>
        <v>1165.9849039999999</v>
      </c>
      <c r="L27" s="109"/>
      <c r="M27" s="109"/>
      <c r="N27" s="110"/>
      <c r="O27" s="300"/>
      <c r="P27" s="301"/>
      <c r="Q27" s="60"/>
      <c r="S27" s="63">
        <v>6</v>
      </c>
      <c r="T27" s="64">
        <f t="shared" si="6"/>
        <v>46331</v>
      </c>
      <c r="V27" s="106">
        <f t="shared" si="0"/>
        <v>1181.3268106315788</v>
      </c>
    </row>
    <row r="28" spans="1:26" x14ac:dyDescent="0.3">
      <c r="A28" s="61" t="s">
        <v>34</v>
      </c>
      <c r="B28" s="125" t="s">
        <v>104</v>
      </c>
      <c r="C28" s="60" t="s">
        <v>168</v>
      </c>
      <c r="D28" s="148" t="str">
        <f>IF(C28="","",TEXT($C$7,"mmdd")&amp;"-"&amp;$P$2&amp;"-"&amp;$M$4&amp;"-"&amp;A28&amp;"-1")</f>
        <v>1028-GSP-#A-30-M-1</v>
      </c>
      <c r="E28" s="154" t="str">
        <f t="shared" si="11"/>
        <v>입자샘플러4</v>
      </c>
      <c r="F28" s="155">
        <f>IF(C28="","",$C$7)</f>
        <v>46323</v>
      </c>
      <c r="G28" s="117">
        <v>0.4777777777777778</v>
      </c>
      <c r="H28" s="199">
        <v>0.53333333333333333</v>
      </c>
      <c r="I28" s="201">
        <v>6783.07</v>
      </c>
      <c r="J28" s="201">
        <v>7951.86</v>
      </c>
      <c r="K28" s="201">
        <f t="shared" ref="K28:K33" si="12">IF($I28="","",(J28-I28)*$Q$9)</f>
        <v>1165.9849039999999</v>
      </c>
      <c r="L28" s="109"/>
      <c r="M28" s="109"/>
      <c r="N28" s="110"/>
      <c r="O28" s="300"/>
      <c r="P28" s="301"/>
      <c r="Q28" s="60"/>
      <c r="S28" s="63">
        <v>6</v>
      </c>
      <c r="T28" s="64">
        <f t="shared" si="6"/>
        <v>46331</v>
      </c>
      <c r="V28" s="106">
        <f t="shared" si="0"/>
        <v>1181.3268106315788</v>
      </c>
    </row>
    <row r="29" spans="1:26" x14ac:dyDescent="0.3">
      <c r="A29" s="61" t="s">
        <v>34</v>
      </c>
      <c r="B29" s="125" t="s">
        <v>38</v>
      </c>
      <c r="C29" s="60" t="s">
        <v>168</v>
      </c>
      <c r="D29" s="148" t="str">
        <f>IF(C29="","",TEXT($C$7,"mmdd")&amp;"-"&amp;$P$2&amp;"-"&amp;$M$4&amp;"-"&amp;A29&amp;"-1")</f>
        <v>1028-GSP-#A-30-M-1</v>
      </c>
      <c r="E29" s="154" t="str">
        <f t="shared" si="11"/>
        <v>입자샘플러4</v>
      </c>
      <c r="F29" s="155">
        <f>IF(C29="","",$C$7)</f>
        <v>46323</v>
      </c>
      <c r="G29" s="117">
        <v>0.4777777777777778</v>
      </c>
      <c r="H29" s="199">
        <v>0.53333333333333333</v>
      </c>
      <c r="I29" s="201">
        <v>6783.07</v>
      </c>
      <c r="J29" s="201">
        <v>7951.86</v>
      </c>
      <c r="K29" s="201">
        <f t="shared" si="12"/>
        <v>1165.9849039999999</v>
      </c>
      <c r="L29" s="109"/>
      <c r="M29" s="109"/>
      <c r="N29" s="110"/>
      <c r="O29" s="300"/>
      <c r="P29" s="301"/>
      <c r="Q29" s="60"/>
      <c r="S29" s="63">
        <v>6</v>
      </c>
      <c r="T29" s="64">
        <f t="shared" si="6"/>
        <v>46331</v>
      </c>
      <c r="V29" s="106">
        <f t="shared" si="0"/>
        <v>1181.3268106315788</v>
      </c>
    </row>
    <row r="30" spans="1:26" x14ac:dyDescent="0.3">
      <c r="A30" s="61" t="s">
        <v>34</v>
      </c>
      <c r="B30" s="125" t="s">
        <v>39</v>
      </c>
      <c r="C30" s="60"/>
      <c r="D30" s="148" t="str">
        <f t="shared" si="4"/>
        <v/>
      </c>
      <c r="E30" s="154" t="str">
        <f t="shared" si="11"/>
        <v/>
      </c>
      <c r="F30" s="155" t="str">
        <f t="shared" si="1"/>
        <v/>
      </c>
      <c r="G30" s="199"/>
      <c r="H30" s="199"/>
      <c r="I30" s="201"/>
      <c r="J30" s="201"/>
      <c r="K30" s="201" t="str">
        <f t="shared" si="12"/>
        <v/>
      </c>
      <c r="L30" s="126"/>
      <c r="M30" s="126"/>
      <c r="N30" s="110"/>
      <c r="O30" s="300"/>
      <c r="P30" s="301"/>
      <c r="Q30" s="60"/>
      <c r="S30" s="63">
        <v>6</v>
      </c>
      <c r="T30" s="64" t="str">
        <f t="shared" si="6"/>
        <v/>
      </c>
      <c r="V30" s="106" t="str">
        <f t="shared" si="0"/>
        <v/>
      </c>
    </row>
    <row r="31" spans="1:26" x14ac:dyDescent="0.3">
      <c r="A31" s="219" t="s">
        <v>34</v>
      </c>
      <c r="B31" s="215" t="s">
        <v>139</v>
      </c>
      <c r="C31" s="60"/>
      <c r="D31" s="148" t="str">
        <f t="shared" ref="D31" si="13">IF(C31="","",TEXT($C$6,"mmdd")&amp;"-"&amp;$P$2&amp;"-"&amp;$M$4&amp;"-"&amp;A31&amp;"-1")</f>
        <v/>
      </c>
      <c r="E31" s="154" t="str">
        <f t="shared" ref="E31" si="14">IF(C31="","",$P$3)</f>
        <v/>
      </c>
      <c r="F31" s="155" t="str">
        <f t="shared" ref="F31" si="15">IF(C31="","",$C$6)</f>
        <v/>
      </c>
      <c r="G31" s="199"/>
      <c r="H31" s="199"/>
      <c r="I31" s="224"/>
      <c r="J31" s="137"/>
      <c r="K31" s="200" t="str">
        <f t="shared" si="12"/>
        <v/>
      </c>
      <c r="L31" s="126"/>
      <c r="M31" s="126"/>
      <c r="N31" s="110"/>
      <c r="O31" s="204"/>
      <c r="P31" s="205"/>
      <c r="Q31" s="60"/>
      <c r="S31" s="63">
        <v>6</v>
      </c>
      <c r="T31" s="64" t="str">
        <f t="shared" ref="T31" si="16">IF(F31="","",(WORKDAY(F31,DAY(S31),0)))</f>
        <v/>
      </c>
      <c r="V31" s="106" t="str">
        <f t="shared" si="0"/>
        <v/>
      </c>
    </row>
    <row r="32" spans="1:26" ht="17.45" customHeight="1" x14ac:dyDescent="0.3">
      <c r="A32" s="61" t="s">
        <v>34</v>
      </c>
      <c r="B32" s="127" t="s">
        <v>40</v>
      </c>
      <c r="C32" s="291" t="s">
        <v>168</v>
      </c>
      <c r="D32" s="148" t="str">
        <f>IF(C32="","",TEXT($C$7,"mmdd")&amp;"-"&amp;$P$2&amp;"-"&amp;$M$4&amp;"-"&amp;A32&amp;"-1")</f>
        <v>1028-GSP-#A-30-M-1</v>
      </c>
      <c r="E32" s="154" t="str">
        <f t="shared" si="11"/>
        <v>입자샘플러4</v>
      </c>
      <c r="F32" s="155">
        <f>IF(C32="","",$C$7)</f>
        <v>46323</v>
      </c>
      <c r="G32" s="117">
        <v>0.4777777777777778</v>
      </c>
      <c r="H32" s="199">
        <v>0.53333333333333333</v>
      </c>
      <c r="I32" s="201">
        <v>6783.07</v>
      </c>
      <c r="J32" s="201">
        <v>7951.86</v>
      </c>
      <c r="K32" s="201">
        <f t="shared" si="12"/>
        <v>1165.9849039999999</v>
      </c>
      <c r="L32" s="109"/>
      <c r="M32" s="109"/>
      <c r="N32" s="110"/>
      <c r="O32" s="65"/>
      <c r="P32" s="124">
        <v>1000</v>
      </c>
      <c r="Q32" s="60"/>
      <c r="S32" s="63">
        <v>9</v>
      </c>
      <c r="T32" s="64">
        <f t="shared" si="6"/>
        <v>46336</v>
      </c>
      <c r="V32" s="106">
        <f t="shared" si="0"/>
        <v>1181.3268106315788</v>
      </c>
    </row>
    <row r="33" spans="1:22 16361:16361" ht="17.25" thickBot="1" x14ac:dyDescent="0.35">
      <c r="A33" s="61" t="s">
        <v>41</v>
      </c>
      <c r="B33" s="127" t="s">
        <v>86</v>
      </c>
      <c r="C33" s="292"/>
      <c r="D33" s="148" t="str">
        <f>IF($C$32="","",TEXT($C$7,"mmdd")&amp;"-"&amp;$P$2&amp;"-"&amp;$M$4&amp;"-"&amp;A33&amp;"-1")</f>
        <v>1028-GSP-#A-30-As-G-1</v>
      </c>
      <c r="E33" s="154" t="str">
        <f>IF(C32="","",$P$3)</f>
        <v>입자샘플러4</v>
      </c>
      <c r="F33" s="155">
        <f>IF(C32="","",$C$7)</f>
        <v>46323</v>
      </c>
      <c r="G33" s="117">
        <v>0.4777777777777778</v>
      </c>
      <c r="H33" s="199">
        <v>0.53333333333333333</v>
      </c>
      <c r="I33" s="201">
        <v>6783.07</v>
      </c>
      <c r="J33" s="201">
        <v>7951.86</v>
      </c>
      <c r="K33" s="201">
        <f t="shared" si="12"/>
        <v>1165.9849039999999</v>
      </c>
      <c r="L33" s="109"/>
      <c r="M33" s="109"/>
      <c r="N33" s="110"/>
      <c r="O33" s="65">
        <v>1</v>
      </c>
      <c r="P33" s="124"/>
      <c r="Q33" s="60" t="s">
        <v>101</v>
      </c>
      <c r="S33" s="63"/>
      <c r="T33" s="64"/>
      <c r="V33" s="106">
        <f t="shared" si="0"/>
        <v>1181.3268106315788</v>
      </c>
    </row>
    <row r="34" spans="1:22 16361:16361" ht="17.25" thickBot="1" x14ac:dyDescent="0.35">
      <c r="A34" s="61" t="s">
        <v>42</v>
      </c>
      <c r="B34" s="169" t="s">
        <v>144</v>
      </c>
      <c r="C34" s="223" t="s">
        <v>168</v>
      </c>
      <c r="D34" s="170" t="str">
        <f>IF(C34="","",TEXT($C$6,"mmdd")&amp;"-"&amp;$P$2&amp;"-"&amp;$M$4&amp;"-"&amp;A34&amp;"-1")</f>
        <v>1027-GSP-#A-30-Hg-1</v>
      </c>
      <c r="E34" s="154" t="str">
        <f>IF(C34="","",$P$3)</f>
        <v>입자샘플러4</v>
      </c>
      <c r="F34" s="171">
        <f t="shared" si="1"/>
        <v>46322</v>
      </c>
      <c r="G34" s="172">
        <v>0.52083333333333337</v>
      </c>
      <c r="H34" s="172">
        <v>0.5625</v>
      </c>
      <c r="I34" s="257">
        <v>4306.4799999999996</v>
      </c>
      <c r="J34" s="257">
        <v>5563.61</v>
      </c>
      <c r="K34" s="201">
        <f>IF($I34="","",(J34-I34)*$Q$9)</f>
        <v>1254.1128880000001</v>
      </c>
      <c r="L34" s="173"/>
      <c r="M34" s="173"/>
      <c r="N34" s="174"/>
      <c r="O34" s="65"/>
      <c r="P34" s="124">
        <v>1000</v>
      </c>
      <c r="Q34" s="60"/>
      <c r="S34" s="133">
        <v>9</v>
      </c>
      <c r="T34" s="134">
        <f t="shared" si="6"/>
        <v>46335</v>
      </c>
      <c r="V34" s="106">
        <f t="shared" si="0"/>
        <v>1270.6143733684212</v>
      </c>
      <c r="XEG34" s="135" t="s">
        <v>43</v>
      </c>
    </row>
    <row r="35" spans="1:22 16361:16361" x14ac:dyDescent="0.3">
      <c r="A35" s="61" t="s">
        <v>145</v>
      </c>
      <c r="B35" s="140" t="s">
        <v>141</v>
      </c>
      <c r="C35" s="291" t="s">
        <v>168</v>
      </c>
      <c r="D35" s="148" t="str">
        <f>IF(C35="","",TEXT($C$6,"mmdd")&amp;"-"&amp;$P$2&amp;"-"&amp;$M$4&amp;"-"&amp;A35)</f>
        <v>1027-GSP-#A-30-ALD-1</v>
      </c>
      <c r="E35" s="154" t="str">
        <f>IF(C35="","",$R$3)</f>
        <v>가스샘플러1</v>
      </c>
      <c r="F35" s="168">
        <f t="shared" si="1"/>
        <v>46322</v>
      </c>
      <c r="G35" s="128">
        <v>0.52083333333333337</v>
      </c>
      <c r="H35" s="108">
        <v>0.52777777777777779</v>
      </c>
      <c r="I35" s="118">
        <v>2055.35</v>
      </c>
      <c r="J35" s="118">
        <v>2065.6</v>
      </c>
      <c r="K35" s="201">
        <f>IF($I35="","",(J35-I35)*$T$6)</f>
        <v>10.103425</v>
      </c>
      <c r="L35" s="60">
        <v>25</v>
      </c>
      <c r="M35" s="198">
        <v>15</v>
      </c>
      <c r="N35" s="238">
        <f>IF(M35="","",M35/13.6)</f>
        <v>1.1029411764705883</v>
      </c>
      <c r="O35" s="65">
        <v>1</v>
      </c>
      <c r="P35" s="60">
        <v>10</v>
      </c>
      <c r="Q35" s="60"/>
      <c r="S35" s="94">
        <v>7</v>
      </c>
      <c r="T35" s="138">
        <f t="shared" si="6"/>
        <v>46331</v>
      </c>
      <c r="U35" s="139"/>
      <c r="V35" s="106">
        <f t="shared" si="0"/>
        <v>9.3910417707234899</v>
      </c>
    </row>
    <row r="36" spans="1:22 16361:16361" x14ac:dyDescent="0.3">
      <c r="A36" s="61" t="s">
        <v>146</v>
      </c>
      <c r="B36" s="140" t="s">
        <v>142</v>
      </c>
      <c r="C36" s="298"/>
      <c r="D36" s="148" t="str">
        <f>IF(C35="","",TEXT($C$6,"mmdd")&amp;"-"&amp;$P$2&amp;"-"&amp;$M$4&amp;"-"&amp;A36)</f>
        <v>1027-GSP-#A-30-ALD-2</v>
      </c>
      <c r="E36" s="154" t="str">
        <f>IF(C35="","",$R$3)</f>
        <v>가스샘플러1</v>
      </c>
      <c r="F36" s="155">
        <f>IF(C35="","",$C$6)</f>
        <v>46322</v>
      </c>
      <c r="G36" s="136">
        <v>0.52847222222222223</v>
      </c>
      <c r="H36" s="136">
        <v>0.53749999999999998</v>
      </c>
      <c r="I36" s="118">
        <v>2065</v>
      </c>
      <c r="J36" s="137">
        <v>2078.3000000000002</v>
      </c>
      <c r="K36" s="201">
        <f t="shared" ref="K36:K39" si="17">IF($I36="","",(J36-I36)*$T$6)</f>
        <v>13.109810000000179</v>
      </c>
      <c r="L36" s="60">
        <v>26</v>
      </c>
      <c r="M36" s="60">
        <v>18</v>
      </c>
      <c r="N36" s="119">
        <f>IF(M36="","",M36/13.6)</f>
        <v>1.3235294117647058</v>
      </c>
      <c r="O36" s="65">
        <v>1</v>
      </c>
      <c r="P36" s="60">
        <v>10</v>
      </c>
      <c r="Q36" s="60"/>
      <c r="S36" s="105"/>
      <c r="T36" s="64"/>
      <c r="V36" s="106">
        <f t="shared" si="0"/>
        <v>12.14816952525592</v>
      </c>
    </row>
    <row r="37" spans="1:22 16361:16361" ht="17.25" thickBot="1" x14ac:dyDescent="0.35">
      <c r="A37" s="61" t="s">
        <v>147</v>
      </c>
      <c r="B37" s="239" t="s">
        <v>143</v>
      </c>
      <c r="C37" s="299"/>
      <c r="D37" s="149" t="str">
        <f>IF(C35="","",TEXT($C$6,"mmdd")&amp;"-"&amp;$P$2&amp;"-"&amp;$M$4&amp;"-"&amp;A37)</f>
        <v>1027-GSP-#A-30-ALD-3</v>
      </c>
      <c r="E37" s="156" t="str">
        <f>IF(C35="","",$R$3)</f>
        <v>가스샘플러1</v>
      </c>
      <c r="F37" s="240">
        <f>IF(C35="","",$C$6)</f>
        <v>46322</v>
      </c>
      <c r="G37" s="130">
        <v>0.53888888888888886</v>
      </c>
      <c r="H37" s="241">
        <v>0.54652777777777783</v>
      </c>
      <c r="I37" s="222">
        <v>2078.3000000000002</v>
      </c>
      <c r="J37" s="242">
        <v>2088.5</v>
      </c>
      <c r="K37" s="202">
        <f t="shared" si="17"/>
        <v>10.054139999999821</v>
      </c>
      <c r="L37" s="129">
        <v>27</v>
      </c>
      <c r="M37" s="129">
        <v>18</v>
      </c>
      <c r="N37" s="243">
        <f>IF(M37="","",M37/13.6)</f>
        <v>1.3235294117647058</v>
      </c>
      <c r="O37" s="65">
        <v>1</v>
      </c>
      <c r="P37" s="60">
        <v>10</v>
      </c>
      <c r="Q37" s="60"/>
      <c r="S37" s="105"/>
      <c r="T37" s="64"/>
      <c r="V37" s="106">
        <f t="shared" si="0"/>
        <v>9.2855858190787828</v>
      </c>
    </row>
    <row r="38" spans="1:22 16361:16361" x14ac:dyDescent="0.3">
      <c r="A38" s="61" t="s">
        <v>56</v>
      </c>
      <c r="B38" s="175" t="s">
        <v>82</v>
      </c>
      <c r="C38" s="176"/>
      <c r="D38" s="177" t="str">
        <f t="shared" ref="D38:D44" si="18">IF(C38="","",TEXT($C$6,"mmdd")&amp;"-"&amp;$P$2&amp;"-"&amp;$M$4&amp;"-"&amp;A38&amp;"-1")</f>
        <v/>
      </c>
      <c r="E38" s="178" t="str">
        <f>IF(C38="","",$R$3)</f>
        <v/>
      </c>
      <c r="F38" s="179" t="str">
        <f t="shared" si="1"/>
        <v/>
      </c>
      <c r="G38" s="136"/>
      <c r="H38" s="180"/>
      <c r="I38" s="137"/>
      <c r="J38" s="235"/>
      <c r="K38" s="201" t="str">
        <f>IF($I38="","",(J38-I38)*$T$6)</f>
        <v/>
      </c>
      <c r="L38" s="176"/>
      <c r="M38" s="176"/>
      <c r="N38" s="181" t="str">
        <f>IF(M38="","",M38/13.6)</f>
        <v/>
      </c>
      <c r="O38" s="65">
        <v>1</v>
      </c>
      <c r="P38" s="60">
        <v>20</v>
      </c>
      <c r="Q38" s="60"/>
      <c r="S38" s="63">
        <v>4</v>
      </c>
      <c r="T38" s="64" t="str">
        <f t="shared" si="6"/>
        <v/>
      </c>
      <c r="V38" s="106" t="str">
        <f t="shared" si="0"/>
        <v/>
      </c>
    </row>
    <row r="39" spans="1:22 16361:16361" x14ac:dyDescent="0.3">
      <c r="A39" s="61" t="s">
        <v>57</v>
      </c>
      <c r="B39" s="140" t="s">
        <v>105</v>
      </c>
      <c r="C39" s="60"/>
      <c r="D39" s="148" t="str">
        <f t="shared" si="18"/>
        <v/>
      </c>
      <c r="E39" s="154" t="str">
        <f>IF(C39="","",$R$3)</f>
        <v/>
      </c>
      <c r="F39" s="155" t="str">
        <f t="shared" si="1"/>
        <v/>
      </c>
      <c r="G39" s="108"/>
      <c r="H39" s="108"/>
      <c r="I39" s="118"/>
      <c r="J39" s="221"/>
      <c r="K39" s="201" t="str">
        <f t="shared" si="17"/>
        <v/>
      </c>
      <c r="L39" s="60"/>
      <c r="M39" s="60"/>
      <c r="N39" s="119" t="str">
        <f>IF(M39="","",M39/13.6)</f>
        <v/>
      </c>
      <c r="O39" s="65">
        <v>1</v>
      </c>
      <c r="P39" s="60">
        <v>40</v>
      </c>
      <c r="Q39" s="60"/>
      <c r="S39" s="63">
        <v>4</v>
      </c>
      <c r="T39" s="64" t="str">
        <f t="shared" si="6"/>
        <v/>
      </c>
      <c r="V39" s="106" t="str">
        <f t="shared" si="0"/>
        <v/>
      </c>
    </row>
    <row r="40" spans="1:22 16361:16361" x14ac:dyDescent="0.3">
      <c r="A40" s="61" t="s">
        <v>124</v>
      </c>
      <c r="B40" s="140" t="s">
        <v>47</v>
      </c>
      <c r="C40" s="60"/>
      <c r="D40" s="148"/>
      <c r="E40" s="250" t="str">
        <f>IF(C40="","","총탄화수소측정기")</f>
        <v/>
      </c>
      <c r="F40" s="251" t="str">
        <f t="shared" si="1"/>
        <v/>
      </c>
      <c r="G40" s="108"/>
      <c r="H40" s="108"/>
      <c r="I40" s="109"/>
      <c r="J40" s="109"/>
      <c r="K40" s="141"/>
      <c r="L40" s="142"/>
      <c r="M40" s="109"/>
      <c r="N40" s="110"/>
      <c r="O40" s="111"/>
      <c r="P40" s="112"/>
      <c r="Q40" s="60">
        <v>30</v>
      </c>
      <c r="S40" s="63" t="s">
        <v>80</v>
      </c>
      <c r="T40" s="64"/>
      <c r="V40" s="106" t="str">
        <f t="shared" si="0"/>
        <v/>
      </c>
    </row>
    <row r="41" spans="1:22 16361:16361" x14ac:dyDescent="0.3">
      <c r="A41" s="61" t="s">
        <v>58</v>
      </c>
      <c r="B41" s="140" t="s">
        <v>81</v>
      </c>
      <c r="C41" s="60"/>
      <c r="D41" s="148" t="str">
        <f t="shared" si="18"/>
        <v/>
      </c>
      <c r="E41" s="159"/>
      <c r="F41" s="251" t="str">
        <f t="shared" si="1"/>
        <v/>
      </c>
      <c r="G41" s="108"/>
      <c r="H41" s="108"/>
      <c r="I41" s="60"/>
      <c r="J41" s="60"/>
      <c r="K41" s="143" t="str">
        <f t="shared" ref="K41:K57" si="19">IF(I41="","",J41-I41)</f>
        <v/>
      </c>
      <c r="L41" s="109"/>
      <c r="M41" s="109"/>
      <c r="N41" s="110"/>
      <c r="O41" s="65"/>
      <c r="P41" s="60"/>
      <c r="Q41" s="60"/>
      <c r="S41" s="63">
        <v>9</v>
      </c>
      <c r="T41" s="64" t="str">
        <f t="shared" si="6"/>
        <v/>
      </c>
      <c r="V41" s="106" t="str">
        <f t="shared" si="0"/>
        <v/>
      </c>
    </row>
    <row r="42" spans="1:22 16361:16361" x14ac:dyDescent="0.3">
      <c r="A42" s="61" t="s">
        <v>127</v>
      </c>
      <c r="B42" s="140" t="s">
        <v>59</v>
      </c>
      <c r="C42" s="60"/>
      <c r="D42" s="148" t="str">
        <f t="shared" si="18"/>
        <v/>
      </c>
      <c r="E42" s="158"/>
      <c r="F42" s="251" t="str">
        <f t="shared" si="1"/>
        <v/>
      </c>
      <c r="G42" s="108"/>
      <c r="H42" s="108"/>
      <c r="I42" s="60"/>
      <c r="J42" s="60"/>
      <c r="K42" s="60" t="str">
        <f t="shared" si="19"/>
        <v/>
      </c>
      <c r="L42" s="109"/>
      <c r="M42" s="109"/>
      <c r="N42" s="110"/>
      <c r="O42" s="65"/>
      <c r="P42" s="60"/>
      <c r="Q42" s="60"/>
      <c r="S42" s="63">
        <v>9</v>
      </c>
      <c r="T42" s="64" t="str">
        <f t="shared" si="6"/>
        <v/>
      </c>
      <c r="V42" s="106" t="str">
        <f t="shared" si="0"/>
        <v/>
      </c>
    </row>
    <row r="43" spans="1:22 16361:16361" x14ac:dyDescent="0.3">
      <c r="A43" s="61" t="s">
        <v>127</v>
      </c>
      <c r="B43" s="140" t="s">
        <v>60</v>
      </c>
      <c r="C43" s="60" t="s">
        <v>176</v>
      </c>
      <c r="D43" s="148" t="str">
        <f>IF(C43="","",TEXT($C$7,"mmdd")&amp;"-"&amp;$P$2&amp;"-"&amp;$M$4&amp;"-"&amp;A43&amp;"-1~3")</f>
        <v>1028-GSP-#A-30-VOCs-1~3</v>
      </c>
      <c r="E43" s="154" t="str">
        <f>IF(C43="","","음압상자1")</f>
        <v>음압상자1</v>
      </c>
      <c r="F43" s="251">
        <f>IF(C43="","",$C$7)</f>
        <v>46323</v>
      </c>
      <c r="G43" s="108">
        <v>0.47916666666666669</v>
      </c>
      <c r="H43" s="108">
        <v>0.49652777777777773</v>
      </c>
      <c r="I43" s="60">
        <v>0</v>
      </c>
      <c r="J43" s="60">
        <v>9</v>
      </c>
      <c r="K43" s="249">
        <f t="shared" si="19"/>
        <v>9</v>
      </c>
      <c r="L43" s="109"/>
      <c r="M43" s="109"/>
      <c r="N43" s="110"/>
      <c r="O43" s="65"/>
      <c r="P43" s="60"/>
      <c r="Q43" s="60">
        <v>15</v>
      </c>
      <c r="S43" s="63">
        <v>9</v>
      </c>
      <c r="T43" s="64">
        <f t="shared" si="6"/>
        <v>46336</v>
      </c>
      <c r="V43" s="106">
        <f t="shared" si="0"/>
        <v>9.1184210526315788</v>
      </c>
    </row>
    <row r="44" spans="1:22 16361:16361" x14ac:dyDescent="0.3">
      <c r="A44" s="61" t="s">
        <v>127</v>
      </c>
      <c r="B44" s="140" t="s">
        <v>62</v>
      </c>
      <c r="C44" s="60"/>
      <c r="D44" s="148" t="str">
        <f t="shared" si="18"/>
        <v/>
      </c>
      <c r="E44" s="154" t="str">
        <f t="shared" ref="E44:E57" si="20">IF(C44="","","음압상자1")</f>
        <v/>
      </c>
      <c r="F44" s="251" t="str">
        <f t="shared" si="1"/>
        <v/>
      </c>
      <c r="G44" s="108"/>
      <c r="H44" s="108"/>
      <c r="I44" s="249"/>
      <c r="J44" s="249"/>
      <c r="K44" s="249" t="str">
        <f t="shared" si="19"/>
        <v/>
      </c>
      <c r="L44" s="109"/>
      <c r="M44" s="109"/>
      <c r="N44" s="110"/>
      <c r="O44" s="65"/>
      <c r="P44" s="60"/>
      <c r="Q44" s="60"/>
      <c r="S44" s="63">
        <v>9</v>
      </c>
      <c r="T44" s="64" t="str">
        <f t="shared" si="6"/>
        <v/>
      </c>
      <c r="V44" s="106" t="str">
        <f t="shared" si="0"/>
        <v/>
      </c>
    </row>
    <row r="45" spans="1:22 16361:16361" x14ac:dyDescent="0.3">
      <c r="A45" s="61" t="s">
        <v>127</v>
      </c>
      <c r="B45" s="140" t="s">
        <v>63</v>
      </c>
      <c r="C45" s="60"/>
      <c r="D45" s="148" t="str">
        <f t="shared" ref="D45:D57" si="21">IF(C45="","",TEXT($C$6,"mmdd")&amp;"-"&amp;$P$2&amp;"-"&amp;$M$4&amp;"-"&amp;A45&amp;"-1")</f>
        <v/>
      </c>
      <c r="E45" s="154" t="str">
        <f t="shared" si="20"/>
        <v/>
      </c>
      <c r="F45" s="251" t="str">
        <f t="shared" si="1"/>
        <v/>
      </c>
      <c r="G45" s="108"/>
      <c r="H45" s="108"/>
      <c r="I45" s="249"/>
      <c r="J45" s="249"/>
      <c r="K45" s="249" t="str">
        <f t="shared" si="19"/>
        <v/>
      </c>
      <c r="L45" s="109"/>
      <c r="M45" s="109"/>
      <c r="N45" s="110"/>
      <c r="O45" s="65"/>
      <c r="P45" s="60"/>
      <c r="Q45" s="60"/>
      <c r="S45" s="63">
        <v>9</v>
      </c>
      <c r="T45" s="64" t="str">
        <f t="shared" si="6"/>
        <v/>
      </c>
      <c r="V45" s="106" t="str">
        <f>IF(K45="","",K45*(273/(273+$L45))*($I$6+$N45)/760)</f>
        <v/>
      </c>
    </row>
    <row r="46" spans="1:22 16361:16361" x14ac:dyDescent="0.3">
      <c r="A46" s="61" t="s">
        <v>127</v>
      </c>
      <c r="B46" s="140" t="s">
        <v>61</v>
      </c>
      <c r="C46" s="60"/>
      <c r="D46" s="148" t="str">
        <f t="shared" si="21"/>
        <v/>
      </c>
      <c r="E46" s="154" t="str">
        <f t="shared" si="20"/>
        <v/>
      </c>
      <c r="F46" s="251" t="str">
        <f t="shared" si="1"/>
        <v/>
      </c>
      <c r="G46" s="108"/>
      <c r="H46" s="108"/>
      <c r="I46" s="249"/>
      <c r="J46" s="249"/>
      <c r="K46" s="249" t="str">
        <f t="shared" si="19"/>
        <v/>
      </c>
      <c r="L46" s="109"/>
      <c r="M46" s="109"/>
      <c r="N46" s="110"/>
      <c r="O46" s="65"/>
      <c r="P46" s="60"/>
      <c r="Q46" s="60"/>
      <c r="S46" s="63">
        <v>9</v>
      </c>
      <c r="T46" s="64" t="str">
        <f t="shared" si="6"/>
        <v/>
      </c>
      <c r="V46" s="106" t="str">
        <f t="shared" si="0"/>
        <v/>
      </c>
    </row>
    <row r="47" spans="1:22 16361:16361" x14ac:dyDescent="0.3">
      <c r="A47" s="61" t="s">
        <v>127</v>
      </c>
      <c r="B47" s="140" t="s">
        <v>64</v>
      </c>
      <c r="C47" s="60"/>
      <c r="D47" s="148" t="str">
        <f t="shared" si="21"/>
        <v/>
      </c>
      <c r="E47" s="154" t="str">
        <f t="shared" si="20"/>
        <v/>
      </c>
      <c r="F47" s="251" t="str">
        <f t="shared" si="1"/>
        <v/>
      </c>
      <c r="G47" s="108"/>
      <c r="H47" s="108"/>
      <c r="I47" s="249"/>
      <c r="J47" s="249"/>
      <c r="K47" s="249" t="str">
        <f t="shared" si="19"/>
        <v/>
      </c>
      <c r="L47" s="109"/>
      <c r="M47" s="109"/>
      <c r="N47" s="110"/>
      <c r="O47" s="65"/>
      <c r="P47" s="60"/>
      <c r="Q47" s="60"/>
      <c r="S47" s="63">
        <v>9</v>
      </c>
      <c r="T47" s="64" t="str">
        <f t="shared" si="6"/>
        <v/>
      </c>
      <c r="V47" s="106" t="str">
        <f t="shared" si="0"/>
        <v/>
      </c>
    </row>
    <row r="48" spans="1:22 16361:16361" x14ac:dyDescent="0.3">
      <c r="A48" s="61" t="s">
        <v>127</v>
      </c>
      <c r="B48" s="140" t="s">
        <v>122</v>
      </c>
      <c r="C48" s="60"/>
      <c r="D48" s="148" t="str">
        <f t="shared" si="21"/>
        <v/>
      </c>
      <c r="E48" s="154" t="str">
        <f t="shared" si="20"/>
        <v/>
      </c>
      <c r="F48" s="251" t="str">
        <f t="shared" si="1"/>
        <v/>
      </c>
      <c r="G48" s="108"/>
      <c r="H48" s="108"/>
      <c r="I48" s="249"/>
      <c r="J48" s="249"/>
      <c r="K48" s="249" t="str">
        <f t="shared" si="19"/>
        <v/>
      </c>
      <c r="L48" s="109"/>
      <c r="M48" s="109"/>
      <c r="N48" s="110"/>
      <c r="O48" s="65"/>
      <c r="P48" s="60"/>
      <c r="Q48" s="60"/>
      <c r="S48" s="63">
        <v>9</v>
      </c>
      <c r="T48" s="64" t="str">
        <f t="shared" si="6"/>
        <v/>
      </c>
      <c r="V48" s="106" t="str">
        <f t="shared" si="0"/>
        <v/>
      </c>
    </row>
    <row r="49" spans="1:22" x14ac:dyDescent="0.3">
      <c r="A49" s="61" t="s">
        <v>127</v>
      </c>
      <c r="B49" s="140" t="s">
        <v>66</v>
      </c>
      <c r="C49" s="60"/>
      <c r="D49" s="148" t="str">
        <f t="shared" si="21"/>
        <v/>
      </c>
      <c r="E49" s="154" t="str">
        <f t="shared" si="20"/>
        <v/>
      </c>
      <c r="F49" s="251" t="str">
        <f t="shared" si="1"/>
        <v/>
      </c>
      <c r="G49" s="108"/>
      <c r="H49" s="108"/>
      <c r="I49" s="249"/>
      <c r="J49" s="249"/>
      <c r="K49" s="249" t="str">
        <f t="shared" si="19"/>
        <v/>
      </c>
      <c r="L49" s="109"/>
      <c r="M49" s="109"/>
      <c r="N49" s="110"/>
      <c r="O49" s="65"/>
      <c r="P49" s="60"/>
      <c r="Q49" s="60"/>
      <c r="S49" s="63">
        <v>9</v>
      </c>
      <c r="T49" s="64" t="str">
        <f t="shared" si="6"/>
        <v/>
      </c>
      <c r="V49" s="106" t="str">
        <f t="shared" si="0"/>
        <v/>
      </c>
    </row>
    <row r="50" spans="1:22" x14ac:dyDescent="0.3">
      <c r="A50" s="61" t="s">
        <v>127</v>
      </c>
      <c r="B50" s="140" t="s">
        <v>67</v>
      </c>
      <c r="C50" s="60"/>
      <c r="D50" s="148" t="str">
        <f>IF(C50="","",TEXT($C$6,"mmdd")&amp;"-"&amp;$P$2&amp;"-"&amp;$M$4&amp;"-"&amp;A50&amp;"-1~3")</f>
        <v/>
      </c>
      <c r="E50" s="154" t="str">
        <f t="shared" si="20"/>
        <v/>
      </c>
      <c r="F50" s="251" t="str">
        <f t="shared" si="1"/>
        <v/>
      </c>
      <c r="G50" s="108"/>
      <c r="H50" s="108"/>
      <c r="I50" s="249"/>
      <c r="J50" s="249"/>
      <c r="K50" s="249" t="str">
        <f t="shared" si="19"/>
        <v/>
      </c>
      <c r="L50" s="109"/>
      <c r="M50" s="109"/>
      <c r="N50" s="110"/>
      <c r="O50" s="65"/>
      <c r="P50" s="60"/>
      <c r="Q50" s="60"/>
      <c r="S50" s="63">
        <v>9</v>
      </c>
      <c r="T50" s="64" t="str">
        <f t="shared" si="6"/>
        <v/>
      </c>
      <c r="V50" s="106" t="str">
        <f>IF(K50="","",K50*(273/(273+$L50))*($I$6+$N50)/760)</f>
        <v/>
      </c>
    </row>
    <row r="51" spans="1:22" x14ac:dyDescent="0.3">
      <c r="A51" s="61" t="s">
        <v>127</v>
      </c>
      <c r="B51" s="140" t="s">
        <v>68</v>
      </c>
      <c r="C51" s="60"/>
      <c r="D51" s="148" t="str">
        <f t="shared" si="21"/>
        <v/>
      </c>
      <c r="E51" s="154" t="str">
        <f t="shared" si="20"/>
        <v/>
      </c>
      <c r="F51" s="251" t="str">
        <f t="shared" si="1"/>
        <v/>
      </c>
      <c r="G51" s="108"/>
      <c r="H51" s="108"/>
      <c r="I51" s="249"/>
      <c r="J51" s="249"/>
      <c r="K51" s="249" t="str">
        <f t="shared" si="19"/>
        <v/>
      </c>
      <c r="L51" s="109"/>
      <c r="M51" s="109"/>
      <c r="N51" s="110"/>
      <c r="O51" s="65"/>
      <c r="P51" s="60"/>
      <c r="Q51" s="60"/>
      <c r="S51" s="63">
        <v>9</v>
      </c>
      <c r="T51" s="64" t="str">
        <f t="shared" si="6"/>
        <v/>
      </c>
      <c r="V51" s="106" t="str">
        <f t="shared" si="0"/>
        <v/>
      </c>
    </row>
    <row r="52" spans="1:22" x14ac:dyDescent="0.3">
      <c r="A52" s="61" t="s">
        <v>127</v>
      </c>
      <c r="B52" s="140" t="s">
        <v>69</v>
      </c>
      <c r="C52" s="60"/>
      <c r="D52" s="148" t="str">
        <f t="shared" si="21"/>
        <v/>
      </c>
      <c r="E52" s="154" t="str">
        <f t="shared" si="20"/>
        <v/>
      </c>
      <c r="F52" s="251" t="str">
        <f t="shared" si="1"/>
        <v/>
      </c>
      <c r="G52" s="108"/>
      <c r="H52" s="108"/>
      <c r="I52" s="249"/>
      <c r="J52" s="249"/>
      <c r="K52" s="249" t="str">
        <f t="shared" si="19"/>
        <v/>
      </c>
      <c r="L52" s="109"/>
      <c r="M52" s="109"/>
      <c r="N52" s="110"/>
      <c r="O52" s="65"/>
      <c r="P52" s="60"/>
      <c r="Q52" s="60"/>
      <c r="S52" s="63">
        <v>9</v>
      </c>
      <c r="T52" s="64" t="str">
        <f t="shared" si="6"/>
        <v/>
      </c>
      <c r="V52" s="106" t="str">
        <f t="shared" si="0"/>
        <v/>
      </c>
    </row>
    <row r="53" spans="1:22" x14ac:dyDescent="0.3">
      <c r="A53" s="61" t="s">
        <v>127</v>
      </c>
      <c r="B53" s="140" t="s">
        <v>70</v>
      </c>
      <c r="C53" s="60"/>
      <c r="D53" s="148" t="str">
        <f t="shared" ref="D53:D56" si="22">IF(C53="","",TEXT($C$6,"mmdd")&amp;"-"&amp;$P$2&amp;"-"&amp;$M$4&amp;"-"&amp;A53&amp;"-1")</f>
        <v/>
      </c>
      <c r="E53" s="154" t="str">
        <f t="shared" ref="E53" si="23">IF(C53="","","음압상자1")</f>
        <v/>
      </c>
      <c r="F53" s="251" t="str">
        <f t="shared" si="1"/>
        <v/>
      </c>
      <c r="G53" s="108"/>
      <c r="H53" s="108"/>
      <c r="I53" s="249"/>
      <c r="J53" s="249"/>
      <c r="K53" s="249" t="str">
        <f t="shared" si="19"/>
        <v/>
      </c>
      <c r="L53" s="109"/>
      <c r="M53" s="109"/>
      <c r="N53" s="110"/>
      <c r="O53" s="204"/>
      <c r="P53" s="60"/>
      <c r="Q53" s="60"/>
      <c r="S53" s="63">
        <v>9</v>
      </c>
      <c r="T53" s="64" t="str">
        <f t="shared" ref="T53" si="24">IF(F53="","",(WORKDAY(F53,DAY(S53),0)))</f>
        <v/>
      </c>
      <c r="V53" s="106" t="str">
        <f>IF(K53="","",K53*(273/(273+$L53))*($I$6+$N53)/760)</f>
        <v/>
      </c>
    </row>
    <row r="54" spans="1:22" x14ac:dyDescent="0.3">
      <c r="A54" s="219" t="s">
        <v>155</v>
      </c>
      <c r="B54" s="218" t="s">
        <v>148</v>
      </c>
      <c r="C54" s="203"/>
      <c r="D54" s="170" t="str">
        <f t="shared" si="22"/>
        <v/>
      </c>
      <c r="E54" s="158"/>
      <c r="F54" s="251" t="str">
        <f t="shared" si="1"/>
        <v/>
      </c>
      <c r="G54" s="217"/>
      <c r="H54" s="217"/>
      <c r="I54" s="203"/>
      <c r="J54" s="203"/>
      <c r="K54" s="249" t="str">
        <f t="shared" si="19"/>
        <v/>
      </c>
      <c r="L54" s="173"/>
      <c r="M54" s="173"/>
      <c r="N54" s="174"/>
      <c r="O54" s="204"/>
      <c r="P54" s="60"/>
      <c r="Q54" s="60"/>
      <c r="S54" s="133"/>
      <c r="T54" s="134"/>
      <c r="V54" s="106" t="str">
        <f t="shared" si="0"/>
        <v/>
      </c>
    </row>
    <row r="55" spans="1:22" x14ac:dyDescent="0.3">
      <c r="A55" s="219" t="s">
        <v>153</v>
      </c>
      <c r="B55" s="218" t="s">
        <v>149</v>
      </c>
      <c r="C55" s="203"/>
      <c r="D55" s="170" t="str">
        <f t="shared" si="22"/>
        <v/>
      </c>
      <c r="E55" s="158"/>
      <c r="F55" s="251" t="str">
        <f t="shared" si="1"/>
        <v/>
      </c>
      <c r="G55" s="217"/>
      <c r="H55" s="217"/>
      <c r="I55" s="203"/>
      <c r="J55" s="203"/>
      <c r="K55" s="249" t="str">
        <f t="shared" si="19"/>
        <v/>
      </c>
      <c r="L55" s="173"/>
      <c r="M55" s="173"/>
      <c r="N55" s="174"/>
      <c r="O55" s="204"/>
      <c r="P55" s="60"/>
      <c r="Q55" s="60"/>
      <c r="S55" s="133"/>
      <c r="T55" s="134"/>
      <c r="V55" s="106" t="str">
        <f t="shared" si="0"/>
        <v/>
      </c>
    </row>
    <row r="56" spans="1:22" x14ac:dyDescent="0.3">
      <c r="A56" s="219" t="s">
        <v>156</v>
      </c>
      <c r="B56" s="218" t="s">
        <v>150</v>
      </c>
      <c r="C56" s="203"/>
      <c r="D56" s="170" t="str">
        <f t="shared" si="22"/>
        <v/>
      </c>
      <c r="E56" s="250" t="str">
        <f>IF(C56="","","음압상자1")</f>
        <v/>
      </c>
      <c r="F56" s="251" t="str">
        <f t="shared" si="1"/>
        <v/>
      </c>
      <c r="G56" s="217"/>
      <c r="H56" s="217"/>
      <c r="I56" s="203"/>
      <c r="J56" s="203"/>
      <c r="K56" s="249" t="str">
        <f t="shared" si="19"/>
        <v/>
      </c>
      <c r="L56" s="173"/>
      <c r="M56" s="173"/>
      <c r="N56" s="174"/>
      <c r="O56" s="204"/>
      <c r="P56" s="60"/>
      <c r="Q56" s="60"/>
      <c r="S56" s="133"/>
      <c r="T56" s="134"/>
      <c r="V56" s="106" t="str">
        <f t="shared" si="0"/>
        <v/>
      </c>
    </row>
    <row r="57" spans="1:22" ht="17.25" thickBot="1" x14ac:dyDescent="0.35">
      <c r="A57" s="219" t="s">
        <v>152</v>
      </c>
      <c r="B57" s="220" t="s">
        <v>151</v>
      </c>
      <c r="C57" s="129"/>
      <c r="D57" s="149" t="str">
        <f t="shared" si="21"/>
        <v/>
      </c>
      <c r="E57" s="156" t="str">
        <f t="shared" si="20"/>
        <v/>
      </c>
      <c r="F57" s="251" t="str">
        <f t="shared" si="1"/>
        <v/>
      </c>
      <c r="G57" s="152" t="str">
        <f t="shared" ref="G57:H57" si="25">IF($C57="","",G$43)</f>
        <v/>
      </c>
      <c r="H57" s="152" t="str">
        <f t="shared" si="25"/>
        <v/>
      </c>
      <c r="I57" s="129" t="str">
        <f t="shared" ref="I57" si="26">IF($C57="","",I$43)</f>
        <v/>
      </c>
      <c r="J57" s="129" t="str">
        <f t="shared" ref="J57" si="27">IF($C57="","",J$43)</f>
        <v/>
      </c>
      <c r="K57" s="249" t="str">
        <f t="shared" si="19"/>
        <v/>
      </c>
      <c r="L57" s="131"/>
      <c r="M57" s="131"/>
      <c r="N57" s="132" t="str">
        <f t="shared" ref="N57" si="28">IF(M57="","",M57/10332.275*760)</f>
        <v/>
      </c>
      <c r="O57" s="65"/>
      <c r="P57" s="60"/>
      <c r="Q57" s="60"/>
      <c r="S57" s="144">
        <v>9</v>
      </c>
      <c r="T57" s="123" t="str">
        <f t="shared" si="6"/>
        <v/>
      </c>
      <c r="V57" s="106" t="str">
        <f t="shared" si="0"/>
        <v/>
      </c>
    </row>
    <row r="58" spans="1:22" ht="20.100000000000001" customHeight="1" x14ac:dyDescent="0.3">
      <c r="B58" s="282" t="s">
        <v>73</v>
      </c>
      <c r="C58" s="285">
        <f>MIN(C6:C8)</f>
        <v>46322</v>
      </c>
      <c r="D58" s="228" t="s">
        <v>74</v>
      </c>
      <c r="E58" s="228" t="s">
        <v>75</v>
      </c>
      <c r="F58" s="228" t="s">
        <v>76</v>
      </c>
      <c r="G58" s="228" t="s">
        <v>76</v>
      </c>
      <c r="H58" s="228" t="s">
        <v>76</v>
      </c>
      <c r="I58" s="260" t="s">
        <v>76</v>
      </c>
      <c r="J58" s="197" t="s">
        <v>74</v>
      </c>
      <c r="K58" s="228" t="s">
        <v>76</v>
      </c>
      <c r="L58" s="228" t="s">
        <v>76</v>
      </c>
      <c r="M58" s="228" t="s">
        <v>76</v>
      </c>
      <c r="N58" s="229" t="s">
        <v>76</v>
      </c>
      <c r="O58" s="61"/>
      <c r="P58" s="61"/>
      <c r="S58" s="61" t="s">
        <v>92</v>
      </c>
      <c r="T58" s="145">
        <f>MIN(T13:T57)</f>
        <v>46324</v>
      </c>
    </row>
    <row r="59" spans="1:22" ht="20.100000000000001" customHeight="1" x14ac:dyDescent="0.3">
      <c r="B59" s="283"/>
      <c r="C59" s="286"/>
      <c r="D59" s="227" t="s">
        <v>77</v>
      </c>
      <c r="E59" s="60" t="s">
        <v>174</v>
      </c>
      <c r="F59" s="60" t="s">
        <v>166</v>
      </c>
      <c r="G59" s="60" t="s">
        <v>159</v>
      </c>
      <c r="H59" s="60" t="s">
        <v>167</v>
      </c>
      <c r="I59" s="249" t="s">
        <v>182</v>
      </c>
      <c r="J59" s="226" t="s">
        <v>77</v>
      </c>
      <c r="K59" s="60"/>
      <c r="L59" s="60"/>
      <c r="M59" s="60"/>
      <c r="N59" s="114"/>
      <c r="O59" s="61"/>
      <c r="P59" s="61"/>
      <c r="S59" s="61" t="s">
        <v>93</v>
      </c>
      <c r="T59" s="145">
        <f>MAX(T13:T57)</f>
        <v>46336</v>
      </c>
    </row>
    <row r="60" spans="1:22" ht="20.100000000000001" customHeight="1" x14ac:dyDescent="0.3">
      <c r="B60" s="283"/>
      <c r="C60" s="287">
        <f>IF(C7="","",C7)</f>
        <v>46323</v>
      </c>
      <c r="D60" s="227" t="s">
        <v>74</v>
      </c>
      <c r="E60" s="227" t="s">
        <v>75</v>
      </c>
      <c r="F60" s="227" t="s">
        <v>76</v>
      </c>
      <c r="G60" s="227" t="s">
        <v>76</v>
      </c>
      <c r="H60" s="227" t="s">
        <v>76</v>
      </c>
      <c r="I60" s="261" t="s">
        <v>76</v>
      </c>
      <c r="J60" s="227" t="s">
        <v>74</v>
      </c>
      <c r="K60" s="227" t="s">
        <v>76</v>
      </c>
      <c r="L60" s="227" t="s">
        <v>76</v>
      </c>
      <c r="M60" s="227" t="s">
        <v>76</v>
      </c>
      <c r="N60" s="232" t="s">
        <v>76</v>
      </c>
      <c r="O60" s="61"/>
      <c r="P60" s="61"/>
    </row>
    <row r="61" spans="1:22" ht="20.100000000000001" customHeight="1" thickBot="1" x14ac:dyDescent="0.35">
      <c r="B61" s="284"/>
      <c r="C61" s="288"/>
      <c r="D61" s="231" t="s">
        <v>77</v>
      </c>
      <c r="E61" s="249" t="s">
        <v>174</v>
      </c>
      <c r="F61" s="249" t="s">
        <v>166</v>
      </c>
      <c r="G61" s="249" t="s">
        <v>159</v>
      </c>
      <c r="H61" s="249" t="s">
        <v>167</v>
      </c>
      <c r="I61" s="249" t="s">
        <v>182</v>
      </c>
      <c r="J61" s="231" t="s">
        <v>77</v>
      </c>
      <c r="K61" s="129"/>
      <c r="L61" s="129"/>
      <c r="M61" s="129"/>
      <c r="N61" s="187"/>
      <c r="O61" s="61"/>
      <c r="P61" s="61"/>
    </row>
    <row r="62" spans="1:22" x14ac:dyDescent="0.3">
      <c r="C62" s="61">
        <f>COUNTA(C13:C57)</f>
        <v>12</v>
      </c>
    </row>
  </sheetData>
  <mergeCells count="30">
    <mergeCell ref="S11:S12"/>
    <mergeCell ref="T11:T12"/>
    <mergeCell ref="C35:C37"/>
    <mergeCell ref="C32:C33"/>
    <mergeCell ref="O25:O30"/>
    <mergeCell ref="P25:P30"/>
    <mergeCell ref="O11:Q11"/>
    <mergeCell ref="C14:C15"/>
    <mergeCell ref="B58:B61"/>
    <mergeCell ref="C58:C59"/>
    <mergeCell ref="C60:C61"/>
    <mergeCell ref="C4:D4"/>
    <mergeCell ref="C17:C18"/>
    <mergeCell ref="B5:B10"/>
    <mergeCell ref="B2:N3"/>
    <mergeCell ref="M5:N5"/>
    <mergeCell ref="B11:B12"/>
    <mergeCell ref="C11:C12"/>
    <mergeCell ref="D11:D12"/>
    <mergeCell ref="E11:E12"/>
    <mergeCell ref="F11:H11"/>
    <mergeCell ref="I11:K11"/>
    <mergeCell ref="L11:N11"/>
    <mergeCell ref="E5:F5"/>
    <mergeCell ref="G5:H5"/>
    <mergeCell ref="I5:J5"/>
    <mergeCell ref="K5:L5"/>
    <mergeCell ref="M4:N4"/>
    <mergeCell ref="F4:H4"/>
    <mergeCell ref="J4:K4"/>
  </mergeCells>
  <phoneticPr fontId="1" type="noConversion"/>
  <pageMargins left="0.51181102362204722" right="0.39370078740157483" top="0.47244094488188981" bottom="0.19685039370078741" header="0.23622047244094491" footer="0.11811023622047245"/>
  <pageSetup paperSize="9" scale="10" orientation="landscape" r:id="rId1"/>
  <headerFooter>
    <oddHeader>&amp;L&amp;"+,굵게"&amp;12'맑은 공기, 푸른환경, 함께 숨쉬는 지구'</oddHeader>
    <oddFooter>&amp;R&amp;"+,굵게"&amp;12수도권대기환경청 조사분석과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C2DD-DC85-4430-BD4F-6BF463269F3E}">
  <dimension ref="A1:O59"/>
  <sheetViews>
    <sheetView view="pageBreakPreview" zoomScale="70" zoomScaleNormal="100" zoomScaleSheetLayoutView="70" zoomScalePageLayoutView="70" workbookViewId="0">
      <selection activeCell="A2" sqref="A2:I6"/>
    </sheetView>
  </sheetViews>
  <sheetFormatPr defaultColWidth="9" defaultRowHeight="16.5" x14ac:dyDescent="0.3"/>
  <cols>
    <col min="1" max="1" width="18.375" bestFit="1" customWidth="1"/>
    <col min="2" max="2" width="41.125" customWidth="1"/>
    <col min="3" max="3" width="15.125" bestFit="1" customWidth="1"/>
    <col min="4" max="11" width="11.625" customWidth="1"/>
    <col min="13" max="13" width="13" bestFit="1" customWidth="1"/>
    <col min="14" max="14" width="12.25" bestFit="1" customWidth="1"/>
  </cols>
  <sheetData>
    <row r="1" spans="1:14" ht="17.25" thickBot="1" x14ac:dyDescent="0.35"/>
    <row r="2" spans="1:14" ht="20.100000000000001" customHeight="1" x14ac:dyDescent="0.3">
      <c r="A2" s="309" t="s">
        <v>0</v>
      </c>
      <c r="B2" s="309"/>
      <c r="C2" s="309"/>
      <c r="D2" s="309"/>
      <c r="E2" s="309"/>
      <c r="F2" s="309"/>
      <c r="G2" s="309"/>
      <c r="H2" s="309"/>
      <c r="I2" s="310"/>
      <c r="J2" s="305" t="s">
        <v>129</v>
      </c>
      <c r="K2" s="306"/>
    </row>
    <row r="3" spans="1:14" ht="20.100000000000001" customHeight="1" x14ac:dyDescent="0.3">
      <c r="A3" s="309"/>
      <c r="B3" s="309"/>
      <c r="C3" s="309"/>
      <c r="D3" s="309"/>
      <c r="E3" s="309"/>
      <c r="F3" s="309"/>
      <c r="G3" s="309"/>
      <c r="H3" s="309"/>
      <c r="I3" s="310"/>
      <c r="J3" s="307"/>
      <c r="K3" s="308"/>
    </row>
    <row r="4" spans="1:14" ht="20.100000000000001" customHeight="1" x14ac:dyDescent="0.3">
      <c r="A4" s="309"/>
      <c r="B4" s="309"/>
      <c r="C4" s="309"/>
      <c r="D4" s="309"/>
      <c r="E4" s="309"/>
      <c r="F4" s="309"/>
      <c r="G4" s="309"/>
      <c r="H4" s="309"/>
      <c r="I4" s="310"/>
      <c r="J4" s="211"/>
      <c r="K4" s="212"/>
    </row>
    <row r="5" spans="1:14" ht="20.100000000000001" customHeight="1" x14ac:dyDescent="0.3">
      <c r="A5" s="309"/>
      <c r="B5" s="309"/>
      <c r="C5" s="309"/>
      <c r="D5" s="309"/>
      <c r="E5" s="309"/>
      <c r="F5" s="309"/>
      <c r="G5" s="309"/>
      <c r="H5" s="309"/>
      <c r="I5" s="310"/>
      <c r="J5" s="211"/>
      <c r="K5" s="212"/>
    </row>
    <row r="6" spans="1:14" ht="20.100000000000001" customHeight="1" thickBot="1" x14ac:dyDescent="0.35">
      <c r="A6" s="311"/>
      <c r="B6" s="311"/>
      <c r="C6" s="311"/>
      <c r="D6" s="311"/>
      <c r="E6" s="311"/>
      <c r="F6" s="311"/>
      <c r="G6" s="311"/>
      <c r="H6" s="311"/>
      <c r="I6" s="311"/>
      <c r="J6" s="213"/>
      <c r="K6" s="214"/>
    </row>
    <row r="7" spans="1:14" ht="48.95" customHeight="1" x14ac:dyDescent="0.3">
      <c r="A7" s="28" t="s">
        <v>1</v>
      </c>
      <c r="B7" s="67" t="str">
        <f>'시료채취 작성'!C4</f>
        <v>지에스파워㈜ 부천열병합발전처</v>
      </c>
      <c r="C7" s="66" t="s">
        <v>2</v>
      </c>
      <c r="D7" s="312" t="str">
        <f>'시료채취 작성'!F4</f>
        <v>화력발전업(35113)</v>
      </c>
      <c r="E7" s="313"/>
      <c r="F7" s="314"/>
      <c r="G7" s="66" t="s">
        <v>3</v>
      </c>
      <c r="H7" s="25" t="str">
        <f>'시료채취 작성'!M4</f>
        <v>#A-30</v>
      </c>
      <c r="I7" s="66" t="s">
        <v>99</v>
      </c>
      <c r="J7" s="325">
        <f>'시료채취 작성'!C6</f>
        <v>46322</v>
      </c>
      <c r="K7" s="326"/>
    </row>
    <row r="8" spans="1:14" ht="30" customHeight="1" x14ac:dyDescent="0.3">
      <c r="A8" s="30" t="s">
        <v>6</v>
      </c>
      <c r="B8" s="13" t="s">
        <v>84</v>
      </c>
      <c r="C8" s="334" t="s">
        <v>88</v>
      </c>
      <c r="D8" s="340"/>
      <c r="E8" s="334" t="s">
        <v>89</v>
      </c>
      <c r="F8" s="340"/>
      <c r="G8" s="334" t="s">
        <v>10</v>
      </c>
      <c r="H8" s="340"/>
      <c r="I8" s="334" t="s">
        <v>90</v>
      </c>
      <c r="J8" s="335"/>
      <c r="K8" s="336"/>
    </row>
    <row r="9" spans="1:14" ht="30" customHeight="1" thickBot="1" x14ac:dyDescent="0.35">
      <c r="A9" s="4" t="str">
        <f>IF(J7='시료채취 작성'!C6,'시료채취 작성'!D6," ")</f>
        <v>맑음</v>
      </c>
      <c r="B9" s="17">
        <f>IF(J7='시료채취 작성'!C6,'시료채취 작성'!E6," ")</f>
        <v>24.8</v>
      </c>
      <c r="C9" s="329">
        <f>IF(J7='시료채취 작성'!C6,'시료채취 작성'!G6)</f>
        <v>36</v>
      </c>
      <c r="D9" s="337"/>
      <c r="E9" s="329">
        <f>IF(J7='시료채취 작성'!C6,'시료채취 작성'!I6," ")</f>
        <v>770</v>
      </c>
      <c r="F9" s="337"/>
      <c r="G9" s="329" t="str">
        <f>IF(J7='시료채취 작성'!C6,'시료채취 작성'!K6," ")</f>
        <v>동</v>
      </c>
      <c r="H9" s="337"/>
      <c r="I9" s="329">
        <f>IF(J7='시료채취 작성'!C6,'시료채취 작성'!M6," ")</f>
        <v>2.2999999999999998</v>
      </c>
      <c r="J9" s="330"/>
      <c r="K9" s="331"/>
    </row>
    <row r="10" spans="1:14" ht="30" customHeight="1" x14ac:dyDescent="0.3">
      <c r="A10" s="323" t="s">
        <v>15</v>
      </c>
      <c r="B10" s="332" t="s">
        <v>83</v>
      </c>
      <c r="C10" s="332" t="s">
        <v>17</v>
      </c>
      <c r="D10" s="319" t="s">
        <v>18</v>
      </c>
      <c r="E10" s="320"/>
      <c r="F10" s="319" t="s">
        <v>19</v>
      </c>
      <c r="G10" s="338"/>
      <c r="H10" s="320"/>
      <c r="I10" s="319" t="s">
        <v>85</v>
      </c>
      <c r="J10" s="338"/>
      <c r="K10" s="339"/>
      <c r="M10" s="315" t="s">
        <v>79</v>
      </c>
      <c r="N10" s="327" t="s">
        <v>21</v>
      </c>
    </row>
    <row r="11" spans="1:14" ht="30" customHeight="1" thickBot="1" x14ac:dyDescent="0.35">
      <c r="A11" s="324"/>
      <c r="B11" s="333"/>
      <c r="C11" s="333"/>
      <c r="D11" s="58" t="s">
        <v>23</v>
      </c>
      <c r="E11" s="58" t="s">
        <v>24</v>
      </c>
      <c r="F11" s="58" t="s">
        <v>25</v>
      </c>
      <c r="G11" s="58" t="s">
        <v>26</v>
      </c>
      <c r="H11" s="58" t="s">
        <v>27</v>
      </c>
      <c r="I11" s="58" t="s">
        <v>28</v>
      </c>
      <c r="J11" s="58" t="s">
        <v>29</v>
      </c>
      <c r="K11" s="45" t="s">
        <v>30</v>
      </c>
      <c r="M11" s="316"/>
      <c r="N11" s="328"/>
    </row>
    <row r="12" spans="1:14" ht="30" customHeight="1" thickTop="1" x14ac:dyDescent="0.3">
      <c r="A12" s="23" t="s">
        <v>33</v>
      </c>
      <c r="B12" s="26" t="str">
        <f>IF($J$7='시료채취 작성'!F13,'시료채취 작성'!D13,"")</f>
        <v>1027-GSP-#A-30-P-1</v>
      </c>
      <c r="C12" s="26" t="str">
        <f>IF($J$7='시료채취 작성'!$F13,'시료채취 작성'!E13,"")</f>
        <v>입자샘플러4</v>
      </c>
      <c r="D12" s="35">
        <f>IF($J$7='시료채취 작성'!$F13,'시료채취 작성'!G13,"")</f>
        <v>0.59097222222222223</v>
      </c>
      <c r="E12" s="35">
        <f>IF($J$7='시료채취 작성'!$F13,'시료채취 작성'!H13,"")</f>
        <v>0.63263888888888886</v>
      </c>
      <c r="F12" s="26">
        <f>IF($J$7='시료채취 작성'!$F13,'시료채취 작성'!I13,"")</f>
        <v>5572.68</v>
      </c>
      <c r="G12" s="26">
        <f>IF($J$7='시료채취 작성'!$F13,'시료채취 작성'!J13,"")</f>
        <v>6773.53</v>
      </c>
      <c r="H12" s="209">
        <f>IF($J$7='시료채취 작성'!$F13,'시료채취 작성'!K13,"")</f>
        <v>1197.9679599999995</v>
      </c>
      <c r="I12" s="41"/>
      <c r="J12" s="41"/>
      <c r="K12" s="56"/>
      <c r="M12" s="1">
        <v>2</v>
      </c>
      <c r="N12" s="2">
        <f>IF(B12="","",(WORKDAY($J$7,DAY(M12),0)))</f>
        <v>46324</v>
      </c>
    </row>
    <row r="13" spans="1:14" ht="30" customHeight="1" x14ac:dyDescent="0.3">
      <c r="A13" s="22" t="s">
        <v>46</v>
      </c>
      <c r="B13" s="26" t="str">
        <f>IF($J$7='시료채취 작성'!F14,'시료채취 작성'!D14,"")</f>
        <v>1027-GSP-#A-30-G-1~3</v>
      </c>
      <c r="C13" s="26" t="str">
        <f>IF($J$7='시료채취 작성'!$F14,'시료채취 작성'!E14,"")</f>
        <v>가스분석기</v>
      </c>
      <c r="D13" s="35">
        <f>IF($J$7='시료채취 작성'!$F14,'시료채취 작성'!G14,"")</f>
        <v>0.4826388888888889</v>
      </c>
      <c r="E13" s="35">
        <f>IF($J$7='시료채취 작성'!$F14,'시료채취 작성'!H14,"")</f>
        <v>0.49305555555555558</v>
      </c>
      <c r="F13" s="9"/>
      <c r="G13" s="9"/>
      <c r="H13" s="9"/>
      <c r="I13" s="9"/>
      <c r="J13" s="9"/>
      <c r="K13" s="37"/>
      <c r="M13" s="49" t="s">
        <v>80</v>
      </c>
      <c r="N13" s="33" t="s">
        <v>80</v>
      </c>
    </row>
    <row r="14" spans="1:14" ht="30" customHeight="1" x14ac:dyDescent="0.3">
      <c r="A14" s="22" t="s">
        <v>45</v>
      </c>
      <c r="B14" s="26" t="str">
        <f>IF($J$7='시료채취 작성'!F15,'시료채취 작성'!D15,"")</f>
        <v/>
      </c>
      <c r="C14" s="26" t="str">
        <f>IF($J$7='시료채취 작성'!$F15,'시료채취 작성'!E15,"")</f>
        <v/>
      </c>
      <c r="D14" s="35" t="str">
        <f>IF($J$7='시료채취 작성'!$F15,'시료채취 작성'!G15,"")</f>
        <v/>
      </c>
      <c r="E14" s="35" t="str">
        <f>IF($J$7='시료채취 작성'!$F15,'시료채취 작성'!H15,"")</f>
        <v/>
      </c>
      <c r="F14" s="9"/>
      <c r="G14" s="9"/>
      <c r="H14" s="9"/>
      <c r="I14" s="9"/>
      <c r="J14" s="9"/>
      <c r="K14" s="37"/>
      <c r="M14" s="49" t="s">
        <v>80</v>
      </c>
      <c r="N14" s="33" t="s">
        <v>80</v>
      </c>
    </row>
    <row r="15" spans="1:14" ht="30" customHeight="1" x14ac:dyDescent="0.3">
      <c r="A15" s="22" t="s">
        <v>44</v>
      </c>
      <c r="B15" s="26" t="str">
        <f>IF($J$7='시료채취 작성'!F16,'시료채취 작성'!D16,"")</f>
        <v/>
      </c>
      <c r="C15" s="26" t="str">
        <f>IF($J$7='시료채취 작성'!$F16,'시료채취 작성'!E16,"")</f>
        <v/>
      </c>
      <c r="D15" s="35" t="str">
        <f>IF($J$7='시료채취 작성'!$F16,'시료채취 작성'!G16,"")</f>
        <v/>
      </c>
      <c r="E15" s="35" t="str">
        <f>IF($J$7='시료채취 작성'!$F16,'시료채취 작성'!H16,"")</f>
        <v/>
      </c>
      <c r="F15" s="9"/>
      <c r="G15" s="9"/>
      <c r="H15" s="9"/>
      <c r="I15" s="9"/>
      <c r="J15" s="9"/>
      <c r="K15" s="37"/>
      <c r="M15" s="50" t="s">
        <v>80</v>
      </c>
      <c r="N15" s="51" t="s">
        <v>80</v>
      </c>
    </row>
    <row r="16" spans="1:14" ht="30" customHeight="1" x14ac:dyDescent="0.3">
      <c r="A16" s="22" t="s">
        <v>184</v>
      </c>
      <c r="B16" s="247" t="str">
        <f>IF($J$7='시료채취 작성'!F17,'시료채취 작성'!D17,"")</f>
        <v/>
      </c>
      <c r="C16" s="247" t="str">
        <f>IF($J$7='시료채취 작성'!$F17,'시료채취 작성'!E17,"")</f>
        <v/>
      </c>
      <c r="D16" s="248" t="str">
        <f>IF($J$7='시료채취 작성'!$F17,'시료채취 작성'!G17,"")</f>
        <v/>
      </c>
      <c r="E16" s="248" t="str">
        <f>IF($J$7='시료채취 작성'!$F17,'시료채취 작성'!H17,"")</f>
        <v/>
      </c>
      <c r="F16" s="247" t="str">
        <f>IF($J$7='시료채취 작성'!$F17,'시료채취 작성'!I17,"")</f>
        <v/>
      </c>
      <c r="G16" s="247" t="str">
        <f>IF($J$7='시료채취 작성'!$F17,'시료채취 작성'!J17,"")</f>
        <v/>
      </c>
      <c r="H16" s="247" t="str">
        <f>IF($J$7='시료채취 작성'!$F17,'시료채취 작성'!K17,"")</f>
        <v/>
      </c>
      <c r="I16" s="247" t="str">
        <f>IF($J$7='시료채취 작성'!$F17,'시료채취 작성'!L17,"")</f>
        <v/>
      </c>
      <c r="J16" s="247" t="str">
        <f>IF($J$7='시료채취 작성'!$F17,'시료채취 작성'!M17,"")</f>
        <v/>
      </c>
      <c r="K16" s="15" t="str">
        <f>IF($J$7='시료채취 작성'!$F17,'시료채취 작성'!N17,"")</f>
        <v/>
      </c>
      <c r="M16" s="50">
        <v>3</v>
      </c>
      <c r="N16" s="51" t="str">
        <f>IF(B16="","",(WORKDAY($J$7,DAY(M17),0)))</f>
        <v/>
      </c>
    </row>
    <row r="17" spans="1:14" ht="30" customHeight="1" x14ac:dyDescent="0.3">
      <c r="A17" s="22" t="s">
        <v>185</v>
      </c>
      <c r="B17" s="3" t="str">
        <f>IF($J$7='시료채취 작성'!F18,'시료채취 작성'!D18,"")</f>
        <v/>
      </c>
      <c r="C17" s="3" t="str">
        <f>IF($J$7='시료채취 작성'!$F18,'시료채취 작성'!E18,"")</f>
        <v/>
      </c>
      <c r="D17" s="7" t="str">
        <f>IF($J$7='시료채취 작성'!$F18,'시료채취 작성'!G18,"")</f>
        <v/>
      </c>
      <c r="E17" s="7" t="str">
        <f>IF($J$7='시료채취 작성'!$F18,'시료채취 작성'!H18,"")</f>
        <v/>
      </c>
      <c r="F17" s="3" t="str">
        <f>IF($J$7='시료채취 작성'!$F18,'시료채취 작성'!I18,"")</f>
        <v/>
      </c>
      <c r="G17" s="3" t="str">
        <f>IF($J$7='시료채취 작성'!$F18,'시료채취 작성'!J18,"")</f>
        <v/>
      </c>
      <c r="H17" s="3" t="str">
        <f>IF($J$7='시료채취 작성'!$F18,'시료채취 작성'!K18,"")</f>
        <v/>
      </c>
      <c r="I17" s="3" t="str">
        <f>IF($J$7='시료채취 작성'!$F18,'시료채취 작성'!L18,"")</f>
        <v/>
      </c>
      <c r="J17" s="3" t="str">
        <f>IF($J$7='시료채취 작성'!$F18,'시료채취 작성'!M18,"")</f>
        <v/>
      </c>
      <c r="K17" s="15" t="str">
        <f>IF($J$7='시료채취 작성'!$F18,'시료채취 작성'!N18,"")</f>
        <v/>
      </c>
      <c r="M17" s="6">
        <v>3</v>
      </c>
      <c r="N17" s="2" t="str">
        <f>IF(B17="","",(WORKDAY($J$7,DAY(M17),0)))</f>
        <v/>
      </c>
    </row>
    <row r="18" spans="1:14" ht="30" customHeight="1" x14ac:dyDescent="0.3">
      <c r="A18" s="22" t="s">
        <v>103</v>
      </c>
      <c r="B18" s="3" t="str">
        <f>IF($J$7='시료채취 작성'!F19,'시료채취 작성'!D19,"")</f>
        <v/>
      </c>
      <c r="C18" s="3" t="str">
        <f>IF($J$7='시료채취 작성'!$F19,'시료채취 작성'!E19,"")</f>
        <v/>
      </c>
      <c r="D18" s="7" t="str">
        <f>IF($J$7='시료채취 작성'!$F19,'시료채취 작성'!G19,"")</f>
        <v/>
      </c>
      <c r="E18" s="7" t="str">
        <f>IF($J$7='시료채취 작성'!$F19,'시료채취 작성'!H19,"")</f>
        <v/>
      </c>
      <c r="F18" s="3" t="str">
        <f>IF($J$7='시료채취 작성'!$F19,'시료채취 작성'!I19,"")</f>
        <v/>
      </c>
      <c r="G18" s="3" t="str">
        <f>IF($J$7='시료채취 작성'!$F19,'시료채취 작성'!J19,"")</f>
        <v/>
      </c>
      <c r="H18" s="3" t="str">
        <f>IF($J$7='시료채취 작성'!$F19,'시료채취 작성'!K19,"")</f>
        <v/>
      </c>
      <c r="I18" s="3" t="str">
        <f>IF($J$7='시료채취 작성'!$F19,'시료채취 작성'!L19,"")</f>
        <v/>
      </c>
      <c r="J18" s="3" t="str">
        <f>IF($J$7='시료채취 작성'!$F19,'시료채취 작성'!M19,"")</f>
        <v/>
      </c>
      <c r="K18" s="15" t="str">
        <f>IF($J$7='시료채취 작성'!$F19,'시료채취 작성'!N19,"")</f>
        <v/>
      </c>
      <c r="M18" s="6">
        <v>4</v>
      </c>
      <c r="N18" s="2" t="str">
        <f t="shared" ref="N18:N56" si="0">IF(B18="","",(WORKDAY($J$7,DAY(M18),0)))</f>
        <v/>
      </c>
    </row>
    <row r="19" spans="1:14" ht="30" customHeight="1" x14ac:dyDescent="0.3">
      <c r="A19" s="22" t="s">
        <v>52</v>
      </c>
      <c r="B19" s="3" t="str">
        <f>IF($J$7='시료채취 작성'!F20,'시료채취 작성'!D20,"")</f>
        <v/>
      </c>
      <c r="C19" s="3" t="str">
        <f>IF($J$7='시료채취 작성'!$F20,'시료채취 작성'!E20,"")</f>
        <v/>
      </c>
      <c r="D19" s="7" t="str">
        <f>IF($J$7='시료채취 작성'!$F20,'시료채취 작성'!G20,"")</f>
        <v/>
      </c>
      <c r="E19" s="7" t="str">
        <f>IF($J$7='시료채취 작성'!$F20,'시료채취 작성'!H20,"")</f>
        <v/>
      </c>
      <c r="F19" s="3" t="str">
        <f>IF($J$7='시료채취 작성'!$F20,'시료채취 작성'!I20,"")</f>
        <v/>
      </c>
      <c r="G19" s="3" t="str">
        <f>IF($J$7='시료채취 작성'!$F20,'시료채취 작성'!J20,"")</f>
        <v/>
      </c>
      <c r="H19" s="3" t="str">
        <f>IF($J$7='시료채취 작성'!$F20,'시료채취 작성'!K20,"")</f>
        <v/>
      </c>
      <c r="I19" s="3" t="str">
        <f>IF($J$7='시료채취 작성'!$F20,'시료채취 작성'!L20,"")</f>
        <v/>
      </c>
      <c r="J19" s="3" t="str">
        <f>IF($J$7='시료채취 작성'!$F20,'시료채취 작성'!M20,"")</f>
        <v/>
      </c>
      <c r="K19" s="15" t="str">
        <f>IF($J$7='시료채취 작성'!$F20,'시료채취 작성'!N20,"")</f>
        <v/>
      </c>
      <c r="M19" s="6">
        <v>3</v>
      </c>
      <c r="N19" s="2" t="str">
        <f t="shared" si="0"/>
        <v/>
      </c>
    </row>
    <row r="20" spans="1:14" ht="30" customHeight="1" x14ac:dyDescent="0.3">
      <c r="A20" s="22" t="s">
        <v>54</v>
      </c>
      <c r="B20" s="3" t="str">
        <f>IF($J$7='시료채취 작성'!F21,'시료채취 작성'!D21,"")</f>
        <v>1027-GSP-#A-30-H2S-1</v>
      </c>
      <c r="C20" s="3" t="str">
        <f>IF($J$7='시료채취 작성'!$F21,'시료채취 작성'!E21,"")</f>
        <v>가스샘플러1</v>
      </c>
      <c r="D20" s="7">
        <f>IF($J$7='시료채취 작성'!$F21,'시료채취 작성'!G21,"")</f>
        <v>0.5493055555555556</v>
      </c>
      <c r="E20" s="7">
        <f>IF($J$7='시료채취 작성'!$F21,'시료채취 작성'!H21,"")</f>
        <v>0.56458333333333333</v>
      </c>
      <c r="F20" s="8">
        <f>IF($J$7='시료채취 작성'!$F21,'시료채취 작성'!I21,"")</f>
        <v>2088.5</v>
      </c>
      <c r="G20" s="8">
        <f>IF($J$7='시료채취 작성'!$F21,'시료채취 작성'!J21,"")</f>
        <v>2109.1</v>
      </c>
      <c r="H20" s="8">
        <f>IF($J$7='시료채취 작성'!$F21,'시료채취 작성'!K21,"")</f>
        <v>20.305419999999909</v>
      </c>
      <c r="I20" s="3">
        <f>IF($J$7='시료채취 작성'!$F21,'시료채취 작성'!L21,"")</f>
        <v>29</v>
      </c>
      <c r="J20" s="3">
        <f>IF($J$7='시료채취 작성'!$F21,'시료채취 작성'!M21,"")</f>
        <v>18</v>
      </c>
      <c r="K20" s="15">
        <f>IF($J$7='시료채취 작성'!$F21,'시료채취 작성'!N21,"")</f>
        <v>1.3235294117647058</v>
      </c>
      <c r="M20" s="6">
        <v>4</v>
      </c>
      <c r="N20" s="2">
        <f t="shared" si="0"/>
        <v>46328</v>
      </c>
    </row>
    <row r="21" spans="1:14" ht="30" customHeight="1" x14ac:dyDescent="0.3">
      <c r="A21" s="22" t="s">
        <v>102</v>
      </c>
      <c r="B21" s="3" t="str">
        <f>IF($J$7='시료채취 작성'!F22,'시료채취 작성'!D22,"")</f>
        <v/>
      </c>
      <c r="C21" s="3" t="str">
        <f>IF($J$7='시료채취 작성'!$F22,'시료채취 작성'!E22,"")</f>
        <v/>
      </c>
      <c r="D21" s="7" t="str">
        <f>IF($J$7='시료채취 작성'!$F22,'시료채취 작성'!G22,"")</f>
        <v/>
      </c>
      <c r="E21" s="7" t="str">
        <f>IF($J$7='시료채취 작성'!$F22,'시료채취 작성'!H22,"")</f>
        <v/>
      </c>
      <c r="F21" s="3" t="str">
        <f>IF($J$7='시료채취 작성'!$F22,'시료채취 작성'!I22,"")</f>
        <v/>
      </c>
      <c r="G21" s="3" t="str">
        <f>IF($J$7='시료채취 작성'!$F22,'시료채취 작성'!J22,"")</f>
        <v/>
      </c>
      <c r="H21" s="3" t="str">
        <f>IF($J$7='시료채취 작성'!$F22,'시료채취 작성'!K22,"")</f>
        <v/>
      </c>
      <c r="I21" s="3" t="str">
        <f>IF($J$7='시료채취 작성'!$F22,'시료채취 작성'!L22,"")</f>
        <v/>
      </c>
      <c r="J21" s="3" t="str">
        <f>IF($J$7='시료채취 작성'!$F22,'시료채취 작성'!M22,"")</f>
        <v/>
      </c>
      <c r="K21" s="15" t="str">
        <f>IF($J$7='시료채취 작성'!$F22,'시료채취 작성'!N22,"")</f>
        <v/>
      </c>
      <c r="M21" s="6">
        <v>3</v>
      </c>
      <c r="N21" s="48" t="str">
        <f t="shared" si="0"/>
        <v/>
      </c>
    </row>
    <row r="22" spans="1:14" ht="30" customHeight="1" x14ac:dyDescent="0.3">
      <c r="A22" s="245" t="s">
        <v>160</v>
      </c>
      <c r="B22" s="3" t="str">
        <f>IF($J$7='시료채취 작성'!F23,'시료채취 작성'!D23,"")</f>
        <v/>
      </c>
      <c r="C22" s="3" t="str">
        <f>IF($J$7='시료채취 작성'!$F23,'시료채취 작성'!E23,"")</f>
        <v/>
      </c>
      <c r="D22" s="7" t="str">
        <f>IF($J$7='시료채취 작성'!$F23,'시료채취 작성'!G23,"")</f>
        <v/>
      </c>
      <c r="E22" s="7" t="str">
        <f>IF($J$7='시료채취 작성'!$F23,'시료채취 작성'!H23,"")</f>
        <v/>
      </c>
      <c r="F22" s="3" t="str">
        <f>IF($J$7='시료채취 작성'!$F23,'시료채취 작성'!I23,"")</f>
        <v/>
      </c>
      <c r="G22" s="3" t="str">
        <f>IF($J$7='시료채취 작성'!$F23,'시료채취 작성'!J23,"")</f>
        <v/>
      </c>
      <c r="H22" s="3" t="str">
        <f>IF($J$7='시료채취 작성'!$F23,'시료채취 작성'!K23,"")</f>
        <v/>
      </c>
      <c r="I22" s="3" t="str">
        <f>IF($J$7='시료채취 작성'!$F23,'시료채취 작성'!L23,"")</f>
        <v/>
      </c>
      <c r="J22" s="3" t="str">
        <f>IF($J$7='시료채취 작성'!$F23,'시료채취 작성'!M23,"")</f>
        <v/>
      </c>
      <c r="K22" s="15" t="str">
        <f>IF($J$7='시료채취 작성'!$F23,'시료채취 작성'!N23,"")</f>
        <v/>
      </c>
      <c r="M22" s="246"/>
      <c r="N22" s="54"/>
    </row>
    <row r="23" spans="1:14" ht="30" customHeight="1" thickBot="1" x14ac:dyDescent="0.35">
      <c r="A23" s="34" t="s">
        <v>72</v>
      </c>
      <c r="B23" s="17" t="str">
        <f>IF($J$7='시료채취 작성'!F24,'시료채취 작성'!D24,"")</f>
        <v/>
      </c>
      <c r="C23" s="17" t="str">
        <f>IF($J$7='시료채취 작성'!$F24,'시료채취 작성'!E24,"")</f>
        <v/>
      </c>
      <c r="D23" s="36" t="str">
        <f>IF($J$7='시료채취 작성'!$F24,'시료채취 작성'!G24,"")</f>
        <v/>
      </c>
      <c r="E23" s="36" t="str">
        <f>IF($J$7='시료채취 작성'!$F24,'시료채취 작성'!H24,"")</f>
        <v/>
      </c>
      <c r="F23" s="17" t="str">
        <f>IF($J$7='시료채취 작성'!$F24,'시료채취 작성'!I24,"")</f>
        <v/>
      </c>
      <c r="G23" s="17" t="str">
        <f>IF($J$7='시료채취 작성'!$F24,'시료채취 작성'!J24,"")</f>
        <v/>
      </c>
      <c r="H23" s="17" t="str">
        <f>IF($J$7='시료채취 작성'!$F24,'시료채취 작성'!K24,"")</f>
        <v/>
      </c>
      <c r="I23" s="40"/>
      <c r="J23" s="40"/>
      <c r="K23" s="44"/>
      <c r="M23" s="47">
        <v>9</v>
      </c>
      <c r="N23" s="52" t="str">
        <f t="shared" si="0"/>
        <v/>
      </c>
    </row>
    <row r="24" spans="1:14" ht="30" customHeight="1" x14ac:dyDescent="0.3">
      <c r="A24" s="18" t="s">
        <v>35</v>
      </c>
      <c r="B24" s="3" t="str">
        <f>IF($J$7='시료채취 작성'!F25,'시료채취 작성'!D25,"")</f>
        <v/>
      </c>
      <c r="C24" s="3" t="str">
        <f>IF($J$7='시료채취 작성'!$F25,'시료채취 작성'!E25,"")</f>
        <v/>
      </c>
      <c r="D24" s="7" t="str">
        <f>IF($J$7='시료채취 작성'!$F25,'시료채취 작성'!G25,"")</f>
        <v/>
      </c>
      <c r="E24" s="7" t="str">
        <f>IF($J$7='시료채취 작성'!$F25,'시료채취 작성'!H25,"")</f>
        <v/>
      </c>
      <c r="F24" s="3" t="str">
        <f>IF($J$7='시료채취 작성'!$F25,'시료채취 작성'!I25,"")</f>
        <v/>
      </c>
      <c r="G24" s="3" t="str">
        <f>IF($J$7='시료채취 작성'!$F25,'시료채취 작성'!J25,"")</f>
        <v/>
      </c>
      <c r="H24" s="8" t="str">
        <f>IF($J$7='시료채취 작성'!$F25,'시료채취 작성'!K25,"")</f>
        <v/>
      </c>
      <c r="I24" s="41"/>
      <c r="J24" s="41"/>
      <c r="K24" s="56"/>
      <c r="M24" s="1">
        <v>6</v>
      </c>
      <c r="N24" s="2" t="str">
        <f t="shared" si="0"/>
        <v/>
      </c>
    </row>
    <row r="25" spans="1:14" ht="30" customHeight="1" x14ac:dyDescent="0.3">
      <c r="A25" s="19" t="s">
        <v>36</v>
      </c>
      <c r="B25" s="3" t="str">
        <f>IF($J$7='시료채취 작성'!F26,'시료채취 작성'!D26,"")</f>
        <v/>
      </c>
      <c r="C25" s="3" t="str">
        <f>IF($J$7='시료채취 작성'!$F26,'시료채취 작성'!E26,"")</f>
        <v/>
      </c>
      <c r="D25" s="7" t="str">
        <f>IF($J$7='시료채취 작성'!$F26,'시료채취 작성'!G26,"")</f>
        <v/>
      </c>
      <c r="E25" s="7" t="str">
        <f>IF($J$7='시료채취 작성'!$F26,'시료채취 작성'!H26,"")</f>
        <v/>
      </c>
      <c r="F25" s="3" t="str">
        <f>IF($J$7='시료채취 작성'!$F26,'시료채취 작성'!I26,"")</f>
        <v/>
      </c>
      <c r="G25" s="3" t="str">
        <f>IF($J$7='시료채취 작성'!$F26,'시료채취 작성'!J26,"")</f>
        <v/>
      </c>
      <c r="H25" s="8" t="str">
        <f>IF($J$7='시료채취 작성'!$F26,'시료채취 작성'!K26,"")</f>
        <v/>
      </c>
      <c r="I25" s="9"/>
      <c r="J25" s="9"/>
      <c r="K25" s="37"/>
      <c r="M25" s="6">
        <v>6</v>
      </c>
      <c r="N25" s="2" t="str">
        <f t="shared" si="0"/>
        <v/>
      </c>
    </row>
    <row r="26" spans="1:14" ht="30" customHeight="1" x14ac:dyDescent="0.3">
      <c r="A26" s="19" t="s">
        <v>37</v>
      </c>
      <c r="B26" s="3" t="str">
        <f>IF($J$7='시료채취 작성'!F27,'시료채취 작성'!D27,"")</f>
        <v/>
      </c>
      <c r="C26" s="3" t="str">
        <f>IF($J$7='시료채취 작성'!$F27,'시료채취 작성'!E27,"")</f>
        <v/>
      </c>
      <c r="D26" s="7" t="str">
        <f>IF($J$7='시료채취 작성'!$F27,'시료채취 작성'!G27,"")</f>
        <v/>
      </c>
      <c r="E26" s="7" t="str">
        <f>IF($J$7='시료채취 작성'!$F27,'시료채취 작성'!H27,"")</f>
        <v/>
      </c>
      <c r="F26" s="3" t="str">
        <f>IF($J$7='시료채취 작성'!$F27,'시료채취 작성'!I27,"")</f>
        <v/>
      </c>
      <c r="G26" s="3" t="str">
        <f>IF($J$7='시료채취 작성'!$F27,'시료채취 작성'!J27,"")</f>
        <v/>
      </c>
      <c r="H26" s="8" t="str">
        <f>IF($J$7='시료채취 작성'!$F27,'시료채취 작성'!K27,"")</f>
        <v/>
      </c>
      <c r="I26" s="9"/>
      <c r="J26" s="9"/>
      <c r="K26" s="37"/>
      <c r="M26" s="6">
        <v>6</v>
      </c>
      <c r="N26" s="2" t="str">
        <f t="shared" si="0"/>
        <v/>
      </c>
    </row>
    <row r="27" spans="1:14" ht="30" customHeight="1" x14ac:dyDescent="0.3">
      <c r="A27" s="19" t="s">
        <v>104</v>
      </c>
      <c r="B27" s="3" t="str">
        <f>IF($J$7='시료채취 작성'!F28,'시료채취 작성'!D28,"")</f>
        <v/>
      </c>
      <c r="C27" s="3" t="str">
        <f>IF($J$7='시료채취 작성'!$F28,'시료채취 작성'!E28,"")</f>
        <v/>
      </c>
      <c r="D27" s="7" t="str">
        <f>IF($J$7='시료채취 작성'!$F28,'시료채취 작성'!G28,"")</f>
        <v/>
      </c>
      <c r="E27" s="7" t="str">
        <f>IF($J$7='시료채취 작성'!$F28,'시료채취 작성'!H28,"")</f>
        <v/>
      </c>
      <c r="F27" s="3" t="str">
        <f>IF($J$7='시료채취 작성'!$F28,'시료채취 작성'!I28,"")</f>
        <v/>
      </c>
      <c r="G27" s="3" t="str">
        <f>IF($J$7='시료채취 작성'!$F28,'시료채취 작성'!J28,"")</f>
        <v/>
      </c>
      <c r="H27" s="8" t="str">
        <f>IF($J$7='시료채취 작성'!$F28,'시료채취 작성'!K28,"")</f>
        <v/>
      </c>
      <c r="I27" s="9"/>
      <c r="J27" s="9"/>
      <c r="K27" s="37"/>
      <c r="M27" s="6">
        <v>6</v>
      </c>
      <c r="N27" s="2" t="str">
        <f t="shared" si="0"/>
        <v/>
      </c>
    </row>
    <row r="28" spans="1:14" ht="30" customHeight="1" x14ac:dyDescent="0.3">
      <c r="A28" s="19" t="s">
        <v>38</v>
      </c>
      <c r="B28" s="3" t="str">
        <f>IF($J$7='시료채취 작성'!F29,'시료채취 작성'!D29,"")</f>
        <v/>
      </c>
      <c r="C28" s="3" t="str">
        <f>IF($J$7='시료채취 작성'!$F29,'시료채취 작성'!E29,"")</f>
        <v/>
      </c>
      <c r="D28" s="7" t="str">
        <f>IF($J$7='시료채취 작성'!$F29,'시료채취 작성'!G29,"")</f>
        <v/>
      </c>
      <c r="E28" s="7" t="str">
        <f>IF($J$7='시료채취 작성'!$F29,'시료채취 작성'!H29,"")</f>
        <v/>
      </c>
      <c r="F28" s="3" t="str">
        <f>IF($J$7='시료채취 작성'!$F29,'시료채취 작성'!I29,"")</f>
        <v/>
      </c>
      <c r="G28" s="3" t="str">
        <f>IF($J$7='시료채취 작성'!$F29,'시료채취 작성'!J29,"")</f>
        <v/>
      </c>
      <c r="H28" s="8" t="str">
        <f>IF($J$7='시료채취 작성'!$F29,'시료채취 작성'!K29,"")</f>
        <v/>
      </c>
      <c r="I28" s="9"/>
      <c r="J28" s="9"/>
      <c r="K28" s="37"/>
      <c r="M28" s="6">
        <v>6</v>
      </c>
      <c r="N28" s="2" t="str">
        <f t="shared" si="0"/>
        <v/>
      </c>
    </row>
    <row r="29" spans="1:14" ht="30" customHeight="1" x14ac:dyDescent="0.3">
      <c r="A29" s="19" t="s">
        <v>39</v>
      </c>
      <c r="B29" s="3" t="str">
        <f>IF($J$7='시료채취 작성'!F30,'시료채취 작성'!D30,"")</f>
        <v/>
      </c>
      <c r="C29" s="3" t="str">
        <f>IF($J$7='시료채취 작성'!$F30,'시료채취 작성'!E30,"")</f>
        <v/>
      </c>
      <c r="D29" s="7" t="str">
        <f>IF($J$7='시료채취 작성'!$F30,'시료채취 작성'!G30,"")</f>
        <v/>
      </c>
      <c r="E29" s="7" t="str">
        <f>IF($J$7='시료채취 작성'!$F30,'시료채취 작성'!H30,"")</f>
        <v/>
      </c>
      <c r="F29" s="3" t="str">
        <f>IF($J$7='시료채취 작성'!$F30,'시료채취 작성'!I30,"")</f>
        <v/>
      </c>
      <c r="G29" s="3" t="str">
        <f>IF($J$7='시료채취 작성'!$F30,'시료채취 작성'!J30,"")</f>
        <v/>
      </c>
      <c r="H29" s="8" t="str">
        <f>IF($J$7='시료채취 작성'!$F30,'시료채취 작성'!K30,"")</f>
        <v/>
      </c>
      <c r="I29" s="9"/>
      <c r="J29" s="9"/>
      <c r="K29" s="37"/>
      <c r="M29" s="6">
        <v>6</v>
      </c>
      <c r="N29" s="2" t="str">
        <f t="shared" si="0"/>
        <v/>
      </c>
    </row>
    <row r="30" spans="1:14" ht="30" customHeight="1" x14ac:dyDescent="0.3">
      <c r="A30" s="19" t="s">
        <v>161</v>
      </c>
      <c r="B30" s="3" t="str">
        <f>IF($J$7='시료채취 작성'!F31,'시료채취 작성'!D31,"")</f>
        <v/>
      </c>
      <c r="C30" s="3" t="str">
        <f>IF($J$7='시료채취 작성'!$F31,'시료채취 작성'!E31,"")</f>
        <v/>
      </c>
      <c r="D30" s="7" t="str">
        <f>IF($J$7='시료채취 작성'!$F31,'시료채취 작성'!G31,"")</f>
        <v/>
      </c>
      <c r="E30" s="7" t="str">
        <f>IF($J$7='시료채취 작성'!$F31,'시료채취 작성'!H31,"")</f>
        <v/>
      </c>
      <c r="F30" s="3" t="str">
        <f>IF($J$7='시료채취 작성'!$F31,'시료채취 작성'!I31,"")</f>
        <v/>
      </c>
      <c r="G30" s="3" t="str">
        <f>IF($J$7='시료채취 작성'!$F31,'시료채취 작성'!J31,"")</f>
        <v/>
      </c>
      <c r="H30" s="8" t="str">
        <f>IF($J$7='시료채취 작성'!$F31,'시료채취 작성'!K31,"")</f>
        <v/>
      </c>
      <c r="I30" s="9"/>
      <c r="J30" s="9"/>
      <c r="K30" s="37"/>
      <c r="M30" s="6"/>
      <c r="N30" s="2"/>
    </row>
    <row r="31" spans="1:14" ht="30" customHeight="1" x14ac:dyDescent="0.3">
      <c r="A31" s="20" t="s">
        <v>40</v>
      </c>
      <c r="B31" s="3" t="str">
        <f>IF($J$7='시료채취 작성'!F32,'시료채취 작성'!D32,"")</f>
        <v/>
      </c>
      <c r="C31" s="3" t="str">
        <f>IF($J$7='시료채취 작성'!$F32,'시료채취 작성'!E32,"")</f>
        <v/>
      </c>
      <c r="D31" s="7" t="str">
        <f>IF($J$7='시료채취 작성'!$F32,'시료채취 작성'!G32,"")</f>
        <v/>
      </c>
      <c r="E31" s="7" t="str">
        <f>IF($J$7='시료채취 작성'!$F32,'시료채취 작성'!H32,"")</f>
        <v/>
      </c>
      <c r="F31" s="3" t="str">
        <f>IF($J$7='시료채취 작성'!$F32,'시료채취 작성'!I32,"")</f>
        <v/>
      </c>
      <c r="G31" s="3" t="str">
        <f>IF($J$7='시료채취 작성'!$F32,'시료채취 작성'!J32,"")</f>
        <v/>
      </c>
      <c r="H31" s="8" t="str">
        <f>IF($J$7='시료채취 작성'!$F32,'시료채취 작성'!K32,"")</f>
        <v/>
      </c>
      <c r="I31" s="9"/>
      <c r="J31" s="9"/>
      <c r="K31" s="37"/>
      <c r="M31" s="6">
        <v>9</v>
      </c>
      <c r="N31" s="2" t="str">
        <f t="shared" si="0"/>
        <v/>
      </c>
    </row>
    <row r="32" spans="1:14" ht="30" customHeight="1" x14ac:dyDescent="0.3">
      <c r="A32" s="20" t="s">
        <v>86</v>
      </c>
      <c r="B32" s="3" t="str">
        <f>IF($J$7='시료채취 작성'!F33,'시료채취 작성'!D33,"")</f>
        <v/>
      </c>
      <c r="C32" s="3" t="str">
        <f>IF($J$7='시료채취 작성'!$F33,'시료채취 작성'!E33,"")</f>
        <v/>
      </c>
      <c r="D32" s="7" t="str">
        <f>IF($J$7='시료채취 작성'!$F33,'시료채취 작성'!G33,"")</f>
        <v/>
      </c>
      <c r="E32" s="7" t="str">
        <f>IF($J$7='시료채취 작성'!$F33,'시료채취 작성'!H33,"")</f>
        <v/>
      </c>
      <c r="F32" s="3" t="str">
        <f>IF($J$7='시료채취 작성'!$F33,'시료채취 작성'!I33,"")</f>
        <v/>
      </c>
      <c r="G32" s="3" t="str">
        <f>IF($J$7='시료채취 작성'!$F33,'시료채취 작성'!J33,"")</f>
        <v/>
      </c>
      <c r="H32" s="3" t="str">
        <f>IF($J$7='시료채취 작성'!$F33,'시료채취 작성'!K33,"")</f>
        <v/>
      </c>
      <c r="I32" s="252"/>
      <c r="J32" s="252"/>
      <c r="K32" s="253"/>
      <c r="M32" s="6">
        <v>9</v>
      </c>
      <c r="N32" s="2" t="str">
        <f t="shared" si="0"/>
        <v/>
      </c>
    </row>
    <row r="33" spans="1:14" ht="33.75" thickBot="1" x14ac:dyDescent="0.35">
      <c r="A33" s="21" t="s">
        <v>87</v>
      </c>
      <c r="B33" s="17" t="str">
        <f>IF($J$7='시료채취 작성'!F34,'시료채취 작성'!D34,"")</f>
        <v>1027-GSP-#A-30-Hg-1</v>
      </c>
      <c r="C33" s="17" t="str">
        <f>IF($J$7='시료채취 작성'!$F34,'시료채취 작성'!E34,"")</f>
        <v>입자샘플러4</v>
      </c>
      <c r="D33" s="36">
        <f>IF($J$7='시료채취 작성'!$F34,'시료채취 작성'!G34,"")</f>
        <v>0.52083333333333337</v>
      </c>
      <c r="E33" s="36">
        <f>IF($J$7='시료채취 작성'!$F34,'시료채취 작성'!H34,"")</f>
        <v>0.5625</v>
      </c>
      <c r="F33" s="17">
        <f>IF($J$7='시료채취 작성'!$F34,'시료채취 작성'!I34,"")</f>
        <v>4306.4799999999996</v>
      </c>
      <c r="G33" s="17">
        <f>IF($J$7='시료채취 작성'!$F34,'시료채취 작성'!J34,"")</f>
        <v>5563.61</v>
      </c>
      <c r="H33" s="69">
        <f>IF($J$7='시료채취 작성'!$F34,'시료채취 작성'!K34,"")</f>
        <v>1254.1128880000001</v>
      </c>
      <c r="I33" s="40"/>
      <c r="J33" s="40"/>
      <c r="K33" s="44"/>
      <c r="M33" s="53">
        <v>9</v>
      </c>
      <c r="N33" s="54">
        <f t="shared" si="0"/>
        <v>46335</v>
      </c>
    </row>
    <row r="34" spans="1:14" ht="30" customHeight="1" x14ac:dyDescent="0.3">
      <c r="A34" s="24" t="s">
        <v>96</v>
      </c>
      <c r="B34" s="26" t="str">
        <f>IF($J$7='시료채취 작성'!F35,'시료채취 작성'!D35,"")</f>
        <v>1027-GSP-#A-30-ALD-1</v>
      </c>
      <c r="C34" s="26" t="str">
        <f>IF($J$7='시료채취 작성'!$F35,'시료채취 작성'!E35,"")</f>
        <v>가스샘플러1</v>
      </c>
      <c r="D34" s="35">
        <f>IF($J$7='시료채취 작성'!$F35,'시료채취 작성'!G35,"")</f>
        <v>0.52083333333333337</v>
      </c>
      <c r="E34" s="35">
        <f>IF($J$7='시료채취 작성'!$F35,'시료채취 작성'!H35,"")</f>
        <v>0.52777777777777779</v>
      </c>
      <c r="F34" s="68">
        <f>IF($J$7='시료채취 작성'!$F35,'시료채취 작성'!I35,"")</f>
        <v>2055.35</v>
      </c>
      <c r="G34" s="68">
        <f>IF($J$7='시료채취 작성'!$F35,'시료채취 작성'!J35,"")</f>
        <v>2065.6</v>
      </c>
      <c r="H34" s="68">
        <f>IF($J$7='시료채취 작성'!$F35,'시료채취 작성'!K35,"")</f>
        <v>10.103425</v>
      </c>
      <c r="I34" s="26">
        <f>IF($J$7='시료채취 작성'!$F35,'시료채취 작성'!L35,"")</f>
        <v>25</v>
      </c>
      <c r="J34" s="26">
        <f>IF($J$7='시료채취 작성'!$F35,'시료채취 작성'!M35,"")</f>
        <v>15</v>
      </c>
      <c r="K34" s="59">
        <f>IF($J$7='시료채취 작성'!$F35,'시료채취 작성'!N35,"")</f>
        <v>1.1029411764705883</v>
      </c>
      <c r="M34" s="27">
        <v>7</v>
      </c>
      <c r="N34" s="32">
        <f t="shared" si="0"/>
        <v>46331</v>
      </c>
    </row>
    <row r="35" spans="1:14" ht="30" customHeight="1" x14ac:dyDescent="0.3">
      <c r="A35" s="14" t="s">
        <v>97</v>
      </c>
      <c r="B35" s="3" t="str">
        <f>IF($J$7='시료채취 작성'!F36,'시료채취 작성'!D36,"")</f>
        <v>1027-GSP-#A-30-ALD-2</v>
      </c>
      <c r="C35" s="3" t="str">
        <f>IF($J$7='시료채취 작성'!$F36,'시료채취 작성'!E36,"")</f>
        <v>가스샘플러1</v>
      </c>
      <c r="D35" s="7">
        <f>IF($J$7='시료채취 작성'!$F36,'시료채취 작성'!G36,"")</f>
        <v>0.52847222222222223</v>
      </c>
      <c r="E35" s="7">
        <f>IF($J$7='시료채취 작성'!$F36,'시료채취 작성'!H36,"")</f>
        <v>0.53749999999999998</v>
      </c>
      <c r="F35" s="46">
        <f>IF($J$7='시료채취 작성'!$F36,'시료채취 작성'!I36,"")</f>
        <v>2065</v>
      </c>
      <c r="G35" s="46">
        <f>IF($J$7='시료채취 작성'!$F36,'시료채취 작성'!J36,"")</f>
        <v>2078.3000000000002</v>
      </c>
      <c r="H35" s="46">
        <f>IF($J$7='시료채취 작성'!$F36,'시료채취 작성'!K36,"")</f>
        <v>13.109810000000179</v>
      </c>
      <c r="I35" s="3">
        <f>IF($J$7='시료채취 작성'!$F36,'시료채취 작성'!L36,"")</f>
        <v>26</v>
      </c>
      <c r="J35" s="3">
        <f>IF($J$7='시료채취 작성'!$F36,'시료채취 작성'!M36,"")</f>
        <v>18</v>
      </c>
      <c r="K35" s="15">
        <f>IF($J$7='시료채취 작성'!$F36,'시료채취 작성'!N36,"")</f>
        <v>1.3235294117647058</v>
      </c>
      <c r="M35" s="1"/>
      <c r="N35" s="2">
        <f t="shared" si="0"/>
        <v>46322</v>
      </c>
    </row>
    <row r="36" spans="1:14" ht="30" customHeight="1" x14ac:dyDescent="0.3">
      <c r="A36" s="14" t="s">
        <v>98</v>
      </c>
      <c r="B36" s="3" t="str">
        <f>IF($J$7='시료채취 작성'!F37,'시료채취 작성'!D37,"")</f>
        <v>1027-GSP-#A-30-ALD-3</v>
      </c>
      <c r="C36" s="3" t="str">
        <f>IF($J$7='시료채취 작성'!$F37,'시료채취 작성'!E37,"")</f>
        <v>가스샘플러1</v>
      </c>
      <c r="D36" s="7">
        <f>IF($J$7='시료채취 작성'!$F37,'시료채취 작성'!G37,"")</f>
        <v>0.53888888888888886</v>
      </c>
      <c r="E36" s="7">
        <f>IF($J$7='시료채취 작성'!$F37,'시료채취 작성'!H37,"")</f>
        <v>0.54652777777777783</v>
      </c>
      <c r="F36" s="46">
        <f>IF($J$7='시료채취 작성'!$F37,'시료채취 작성'!I37,"")</f>
        <v>2078.3000000000002</v>
      </c>
      <c r="G36" s="46">
        <f>IF($J$7='시료채취 작성'!$F37,'시료채취 작성'!J37,"")</f>
        <v>2088.5</v>
      </c>
      <c r="H36" s="46">
        <f>IF($J$7='시료채취 작성'!$F37,'시료채취 작성'!K37,"")</f>
        <v>10.054139999999821</v>
      </c>
      <c r="I36" s="3">
        <f>IF($J$7='시료채취 작성'!$F37,'시료채취 작성'!L37,"")</f>
        <v>27</v>
      </c>
      <c r="J36" s="3">
        <f>IF($J$7='시료채취 작성'!$F37,'시료채취 작성'!M37,"")</f>
        <v>18</v>
      </c>
      <c r="K36" s="15">
        <f>IF($J$7='시료채취 작성'!$F37,'시료채취 작성'!N37,"")</f>
        <v>1.3235294117647058</v>
      </c>
      <c r="M36" s="1"/>
      <c r="N36" s="2">
        <f t="shared" si="0"/>
        <v>46322</v>
      </c>
    </row>
    <row r="37" spans="1:14" ht="30" customHeight="1" x14ac:dyDescent="0.3">
      <c r="A37" s="14" t="s">
        <v>82</v>
      </c>
      <c r="B37" s="3" t="str">
        <f>IF($J$7='시료채취 작성'!F38,'시료채취 작성'!D38,"")</f>
        <v/>
      </c>
      <c r="C37" s="3" t="str">
        <f>IF($J$7='시료채취 작성'!$F38,'시료채취 작성'!E38,"")</f>
        <v/>
      </c>
      <c r="D37" s="7" t="str">
        <f>IF($J$7='시료채취 작성'!$F38,'시료채취 작성'!G38,"")</f>
        <v/>
      </c>
      <c r="E37" s="7" t="str">
        <f>IF($J$7='시료채취 작성'!$F38,'시료채취 작성'!H38,"")</f>
        <v/>
      </c>
      <c r="F37" s="3" t="str">
        <f>IF($J$7='시료채취 작성'!$F38,'시료채취 작성'!I38,"")</f>
        <v/>
      </c>
      <c r="G37" s="3" t="str">
        <f>IF($J$7='시료채취 작성'!$F38,'시료채취 작성'!J38,"")</f>
        <v/>
      </c>
      <c r="H37" s="3" t="str">
        <f>IF($J$7='시료채취 작성'!$F38,'시료채취 작성'!K38,"")</f>
        <v/>
      </c>
      <c r="I37" s="3" t="str">
        <f>IF($J$7='시료채취 작성'!$F38,'시료채취 작성'!L38,"")</f>
        <v/>
      </c>
      <c r="J37" s="3" t="str">
        <f>IF($J$7='시료채취 작성'!$F38,'시료채취 작성'!M38,"")</f>
        <v/>
      </c>
      <c r="K37" s="15" t="str">
        <f>IF($J$7='시료채취 작성'!$F38,'시료채취 작성'!N38,"")</f>
        <v/>
      </c>
      <c r="M37" s="6">
        <v>4</v>
      </c>
      <c r="N37" s="2" t="str">
        <f t="shared" si="0"/>
        <v/>
      </c>
    </row>
    <row r="38" spans="1:14" ht="30" customHeight="1" x14ac:dyDescent="0.3">
      <c r="A38" s="14" t="s">
        <v>105</v>
      </c>
      <c r="B38" s="3" t="str">
        <f>IF($J$7='시료채취 작성'!F39,'시료채취 작성'!D39,"")</f>
        <v/>
      </c>
      <c r="C38" s="3" t="str">
        <f>IF($J$7='시료채취 작성'!$F39,'시료채취 작성'!E39,"")</f>
        <v/>
      </c>
      <c r="D38" s="7" t="str">
        <f>IF($J$7='시료채취 작성'!$F39,'시료채취 작성'!G39,"")</f>
        <v/>
      </c>
      <c r="E38" s="7" t="str">
        <f>IF($J$7='시료채취 작성'!$F39,'시료채취 작성'!H39,"")</f>
        <v/>
      </c>
      <c r="F38" s="3" t="str">
        <f>IF($J$7='시료채취 작성'!$F39,'시료채취 작성'!I39,"")</f>
        <v/>
      </c>
      <c r="G38" s="3" t="str">
        <f>IF($J$7='시료채취 작성'!$F39,'시료채취 작성'!J39,"")</f>
        <v/>
      </c>
      <c r="H38" s="3" t="str">
        <f>IF($J$7='시료채취 작성'!$F39,'시료채취 작성'!K39,"")</f>
        <v/>
      </c>
      <c r="I38" s="3" t="str">
        <f>IF($J$7='시료채취 작성'!$F39,'시료채취 작성'!L39,"")</f>
        <v/>
      </c>
      <c r="J38" s="3" t="str">
        <f>IF($J$7='시료채취 작성'!$F39,'시료채취 작성'!M39,"")</f>
        <v/>
      </c>
      <c r="K38" s="15" t="str">
        <f>IF($J$7='시료채취 작성'!$F39,'시료채취 작성'!N39,"")</f>
        <v/>
      </c>
      <c r="M38" s="6">
        <v>4</v>
      </c>
      <c r="N38" s="2" t="str">
        <f t="shared" si="0"/>
        <v/>
      </c>
    </row>
    <row r="39" spans="1:14" ht="30" customHeight="1" x14ac:dyDescent="0.3">
      <c r="A39" s="14" t="s">
        <v>47</v>
      </c>
      <c r="B39" s="3" t="str">
        <f>IF($J$7='시료채취 작성'!F40,'시료채취 작성'!D40,"")</f>
        <v/>
      </c>
      <c r="C39" s="3" t="str">
        <f>IF($J$7='시료채취 작성'!$F40,'시료채취 작성'!E40,"")</f>
        <v/>
      </c>
      <c r="D39" s="7" t="str">
        <f>IF($J$7='시료채취 작성'!$F40,'시료채취 작성'!G40,"")</f>
        <v/>
      </c>
      <c r="E39" s="7" t="str">
        <f>IF($J$7='시료채취 작성'!$F40,'시료채취 작성'!H40,"")</f>
        <v/>
      </c>
      <c r="F39" s="9"/>
      <c r="G39" s="9"/>
      <c r="H39" s="9"/>
      <c r="I39" s="9"/>
      <c r="J39" s="9"/>
      <c r="K39" s="16"/>
      <c r="M39" s="6" t="s">
        <v>80</v>
      </c>
      <c r="N39" s="2" t="str">
        <f t="shared" si="0"/>
        <v/>
      </c>
    </row>
    <row r="40" spans="1:14" ht="30" customHeight="1" x14ac:dyDescent="0.3">
      <c r="A40" s="14" t="s">
        <v>81</v>
      </c>
      <c r="B40" s="247" t="str">
        <f>IF($J$7='시료채취 작성'!F41,'시료채취 작성'!D41,"")</f>
        <v/>
      </c>
      <c r="C40" s="3" t="str">
        <f>IF($J$7='시료채취 작성'!$F41,'시료채취 작성'!E42,"")</f>
        <v/>
      </c>
      <c r="D40" s="248" t="str">
        <f>IF($J$7='시료채취 작성'!$F41,'시료채취 작성'!G41,"")</f>
        <v/>
      </c>
      <c r="E40" s="248" t="str">
        <f>IF($J$7='시료채취 작성'!$F41,'시료채취 작성'!H41,"")</f>
        <v/>
      </c>
      <c r="F40" s="247" t="str">
        <f>IF($J$7='시료채취 작성'!$F41,'시료채취 작성'!I41,"")</f>
        <v/>
      </c>
      <c r="G40" s="247" t="str">
        <f>IF($J$7='시료채취 작성'!$F41,'시료채취 작성'!J41,"")</f>
        <v/>
      </c>
      <c r="H40" s="247" t="str">
        <f>IF($J$7='시료채취 작성'!$F41,'시료채취 작성'!K41,"")</f>
        <v/>
      </c>
      <c r="I40" s="9"/>
      <c r="J40" s="9"/>
      <c r="K40" s="16"/>
      <c r="M40" s="6">
        <v>9</v>
      </c>
      <c r="N40" s="2" t="str">
        <f t="shared" si="0"/>
        <v/>
      </c>
    </row>
    <row r="41" spans="1:14" ht="30" customHeight="1" x14ac:dyDescent="0.3">
      <c r="A41" s="14" t="s">
        <v>59</v>
      </c>
      <c r="B41" s="247" t="str">
        <f>IF($J$7='시료채취 작성'!F42,'시료채취 작성'!D42,"")</f>
        <v/>
      </c>
      <c r="C41" s="3" t="str">
        <f>IF($J$7='시료채취 작성'!$F42,'시료채취 작성'!#REF!,"")</f>
        <v/>
      </c>
      <c r="D41" s="248" t="str">
        <f>IF($J$7='시료채취 작성'!$F42,'시료채취 작성'!G42,"")</f>
        <v/>
      </c>
      <c r="E41" s="248" t="str">
        <f>IF($J$7='시료채취 작성'!$F42,'시료채취 작성'!H42,"")</f>
        <v/>
      </c>
      <c r="F41" s="247" t="str">
        <f>IF($J$7='시료채취 작성'!$F42,'시료채취 작성'!I42,"")</f>
        <v/>
      </c>
      <c r="G41" s="247" t="str">
        <f>IF($J$7='시료채취 작성'!$F42,'시료채취 작성'!J42,"")</f>
        <v/>
      </c>
      <c r="H41" s="247" t="str">
        <f>IF($J$7='시료채취 작성'!$F42,'시료채취 작성'!K42,"")</f>
        <v/>
      </c>
      <c r="I41" s="9"/>
      <c r="J41" s="9"/>
      <c r="K41" s="16"/>
      <c r="M41" s="6">
        <v>9</v>
      </c>
      <c r="N41" s="2" t="str">
        <f t="shared" si="0"/>
        <v/>
      </c>
    </row>
    <row r="42" spans="1:14" ht="30" customHeight="1" x14ac:dyDescent="0.3">
      <c r="A42" s="14" t="s">
        <v>60</v>
      </c>
      <c r="B42" s="247" t="str">
        <f>IF($J$7='시료채취 작성'!F43,'시료채취 작성'!D43,"")</f>
        <v/>
      </c>
      <c r="C42" s="3" t="str">
        <f>IF($J$7='시료채취 작성'!$F43,'시료채취 작성'!E43,"")</f>
        <v/>
      </c>
      <c r="D42" s="248" t="str">
        <f>IF($J$7='시료채취 작성'!$F43,'시료채취 작성'!G43,"")</f>
        <v/>
      </c>
      <c r="E42" s="248" t="str">
        <f>IF($J$7='시료채취 작성'!$F43,'시료채취 작성'!H43,"")</f>
        <v/>
      </c>
      <c r="F42" s="247" t="str">
        <f>IF($J$7='시료채취 작성'!$F43,'시료채취 작성'!I43,"")</f>
        <v/>
      </c>
      <c r="G42" s="247" t="str">
        <f>IF($J$7='시료채취 작성'!$F43,'시료채취 작성'!J43,"")</f>
        <v/>
      </c>
      <c r="H42" s="247" t="str">
        <f>IF($J$7='시료채취 작성'!$F43,'시료채취 작성'!K43,"")</f>
        <v/>
      </c>
      <c r="I42" s="9"/>
      <c r="J42" s="9"/>
      <c r="K42" s="16"/>
      <c r="M42" s="6">
        <v>9</v>
      </c>
      <c r="N42" s="2" t="str">
        <f t="shared" si="0"/>
        <v/>
      </c>
    </row>
    <row r="43" spans="1:14" ht="30" customHeight="1" x14ac:dyDescent="0.3">
      <c r="A43" s="14" t="s">
        <v>62</v>
      </c>
      <c r="B43" s="247" t="str">
        <f>IF($J$7='시료채취 작성'!F44,'시료채취 작성'!D44,"")</f>
        <v/>
      </c>
      <c r="C43" s="3" t="str">
        <f>IF($J$7='시료채취 작성'!$F44,'시료채취 작성'!E44,"")</f>
        <v/>
      </c>
      <c r="D43" s="7" t="str">
        <f>IF($J$7='시료채취 작성'!$F44,'시료채취 작성'!G44,"")</f>
        <v/>
      </c>
      <c r="E43" s="7" t="str">
        <f>IF($J$7='시료채취 작성'!$F44,'시료채취 작성'!H44,"")</f>
        <v/>
      </c>
      <c r="F43" s="3" t="str">
        <f>IF($J$7='시료채취 작성'!$F44,'시료채취 작성'!I44,"")</f>
        <v/>
      </c>
      <c r="G43" s="3" t="str">
        <f>IF($J$7='시료채취 작성'!$F44,'시료채취 작성'!J44,"")</f>
        <v/>
      </c>
      <c r="H43" s="3" t="str">
        <f>IF($J$7='시료채취 작성'!$F44,'시료채취 작성'!K44,"")</f>
        <v/>
      </c>
      <c r="I43" s="9"/>
      <c r="J43" s="9"/>
      <c r="K43" s="37"/>
      <c r="M43" s="6">
        <v>9</v>
      </c>
      <c r="N43" s="2" t="str">
        <f t="shared" si="0"/>
        <v/>
      </c>
    </row>
    <row r="44" spans="1:14" ht="30" customHeight="1" x14ac:dyDescent="0.3">
      <c r="A44" s="14" t="s">
        <v>63</v>
      </c>
      <c r="B44" s="247" t="str">
        <f>IF($J$7='시료채취 작성'!F45,'시료채취 작성'!D45,"")</f>
        <v/>
      </c>
      <c r="C44" s="247" t="str">
        <f>IF($J$7='시료채취 작성'!$F45,'시료채취 작성'!E45,"")</f>
        <v/>
      </c>
      <c r="D44" s="248" t="str">
        <f>IF($J$7='시료채취 작성'!$F45,'시료채취 작성'!G45,"")</f>
        <v/>
      </c>
      <c r="E44" s="248" t="str">
        <f>IF($J$7='시료채취 작성'!$F45,'시료채취 작성'!H45,"")</f>
        <v/>
      </c>
      <c r="F44" s="247" t="str">
        <f>IF($J$7='시료채취 작성'!$F45,'시료채취 작성'!I45,"")</f>
        <v/>
      </c>
      <c r="G44" s="247" t="str">
        <f>IF($J$7='시료채취 작성'!$F45,'시료채취 작성'!J45,"")</f>
        <v/>
      </c>
      <c r="H44" s="247" t="str">
        <f>IF($J$7='시료채취 작성'!$F45,'시료채취 작성'!K45,"")</f>
        <v/>
      </c>
      <c r="I44" s="9"/>
      <c r="J44" s="9"/>
      <c r="K44" s="37"/>
      <c r="M44" s="6">
        <v>9</v>
      </c>
      <c r="N44" s="2" t="str">
        <f t="shared" si="0"/>
        <v/>
      </c>
    </row>
    <row r="45" spans="1:14" ht="30" customHeight="1" x14ac:dyDescent="0.3">
      <c r="A45" s="14" t="s">
        <v>61</v>
      </c>
      <c r="B45" s="247" t="str">
        <f>IF($J$7='시료채취 작성'!F46,'시료채취 작성'!D46,"")</f>
        <v/>
      </c>
      <c r="C45" s="247" t="str">
        <f>IF($J$7='시료채취 작성'!$F46,'시료채취 작성'!E46,"")</f>
        <v/>
      </c>
      <c r="D45" s="248" t="str">
        <f>IF($J$7='시료채취 작성'!$F46,'시료채취 작성'!G46,"")</f>
        <v/>
      </c>
      <c r="E45" s="248" t="str">
        <f>IF($J$7='시료채취 작성'!$F46,'시료채취 작성'!H46,"")</f>
        <v/>
      </c>
      <c r="F45" s="247" t="str">
        <f>IF($J$7='시료채취 작성'!$F46,'시료채취 작성'!I46,"")</f>
        <v/>
      </c>
      <c r="G45" s="247" t="str">
        <f>IF($J$7='시료채취 작성'!$F46,'시료채취 작성'!J46,"")</f>
        <v/>
      </c>
      <c r="H45" s="247" t="str">
        <f>IF($J$7='시료채취 작성'!$F46,'시료채취 작성'!K46,"")</f>
        <v/>
      </c>
      <c r="I45" s="9"/>
      <c r="J45" s="9"/>
      <c r="K45" s="16"/>
      <c r="M45" s="6">
        <v>9</v>
      </c>
      <c r="N45" s="2" t="str">
        <f t="shared" si="0"/>
        <v/>
      </c>
    </row>
    <row r="46" spans="1:14" ht="30" customHeight="1" x14ac:dyDescent="0.3">
      <c r="A46" s="14" t="s">
        <v>64</v>
      </c>
      <c r="B46" s="247" t="str">
        <f>IF($J$7='시료채취 작성'!F47,'시료채취 작성'!D47,"")</f>
        <v/>
      </c>
      <c r="C46" s="247" t="str">
        <f>IF($J$7='시료채취 작성'!$F47,'시료채취 작성'!E47,"")</f>
        <v/>
      </c>
      <c r="D46" s="248" t="str">
        <f>IF($J$7='시료채취 작성'!$F47,'시료채취 작성'!G47,"")</f>
        <v/>
      </c>
      <c r="E46" s="248" t="str">
        <f>IF($J$7='시료채취 작성'!$F47,'시료채취 작성'!H47,"")</f>
        <v/>
      </c>
      <c r="F46" s="247" t="str">
        <f>IF($J$7='시료채취 작성'!$F47,'시료채취 작성'!I47,"")</f>
        <v/>
      </c>
      <c r="G46" s="247" t="str">
        <f>IF($J$7='시료채취 작성'!$F47,'시료채취 작성'!J47,"")</f>
        <v/>
      </c>
      <c r="H46" s="247" t="str">
        <f>IF($J$7='시료채취 작성'!$F47,'시료채취 작성'!K47,"")</f>
        <v/>
      </c>
      <c r="I46" s="9"/>
      <c r="J46" s="9"/>
      <c r="K46" s="37"/>
      <c r="M46" s="6">
        <v>9</v>
      </c>
      <c r="N46" s="2" t="str">
        <f t="shared" si="0"/>
        <v/>
      </c>
    </row>
    <row r="47" spans="1:14" ht="30" customHeight="1" x14ac:dyDescent="0.3">
      <c r="A47" s="14" t="s">
        <v>65</v>
      </c>
      <c r="B47" s="247" t="str">
        <f>IF($J$7='시료채취 작성'!F48,'시료채취 작성'!D48,"")</f>
        <v/>
      </c>
      <c r="C47" s="247" t="str">
        <f>IF($J$7='시료채취 작성'!$F48,'시료채취 작성'!E48,"")</f>
        <v/>
      </c>
      <c r="D47" s="248" t="str">
        <f>IF($J$7='시료채취 작성'!$F48,'시료채취 작성'!G48,"")</f>
        <v/>
      </c>
      <c r="E47" s="248" t="str">
        <f>IF($J$7='시료채취 작성'!$F48,'시료채취 작성'!H48,"")</f>
        <v/>
      </c>
      <c r="F47" s="247" t="str">
        <f>IF($J$7='시료채취 작성'!$F48,'시료채취 작성'!I48,"")</f>
        <v/>
      </c>
      <c r="G47" s="247" t="str">
        <f>IF($J$7='시료채취 작성'!$F48,'시료채취 작성'!J48,"")</f>
        <v/>
      </c>
      <c r="H47" s="247" t="str">
        <f>IF($J$7='시료채취 작성'!$F48,'시료채취 작성'!K48,"")</f>
        <v/>
      </c>
      <c r="I47" s="9"/>
      <c r="J47" s="9"/>
      <c r="K47" s="37"/>
      <c r="M47" s="6">
        <v>9</v>
      </c>
      <c r="N47" s="2" t="str">
        <f t="shared" si="0"/>
        <v/>
      </c>
    </row>
    <row r="48" spans="1:14" ht="30" customHeight="1" x14ac:dyDescent="0.3">
      <c r="A48" s="14" t="s">
        <v>66</v>
      </c>
      <c r="B48" s="247" t="str">
        <f>IF($J$7='시료채취 작성'!F49,'시료채취 작성'!D49,"")</f>
        <v/>
      </c>
      <c r="C48" s="247" t="str">
        <f>IF($J$7='시료채취 작성'!$F49,'시료채취 작성'!E49,"")</f>
        <v/>
      </c>
      <c r="D48" s="248" t="str">
        <f>IF($J$7='시료채취 작성'!$F49,'시료채취 작성'!G49,"")</f>
        <v/>
      </c>
      <c r="E48" s="248" t="str">
        <f>IF($J$7='시료채취 작성'!$F49,'시료채취 작성'!H49,"")</f>
        <v/>
      </c>
      <c r="F48" s="247" t="str">
        <f>IF($J$7='시료채취 작성'!$F49,'시료채취 작성'!I49,"")</f>
        <v/>
      </c>
      <c r="G48" s="247" t="str">
        <f>IF($J$7='시료채취 작성'!$F49,'시료채취 작성'!J49,"")</f>
        <v/>
      </c>
      <c r="H48" s="247" t="str">
        <f>IF($J$7='시료채취 작성'!$F49,'시료채취 작성'!K49,"")</f>
        <v/>
      </c>
      <c r="I48" s="9"/>
      <c r="J48" s="9"/>
      <c r="K48" s="37"/>
      <c r="M48" s="6">
        <v>9</v>
      </c>
      <c r="N48" s="2" t="str">
        <f t="shared" si="0"/>
        <v/>
      </c>
    </row>
    <row r="49" spans="1:15" ht="30" customHeight="1" x14ac:dyDescent="0.3">
      <c r="A49" s="14" t="s">
        <v>67</v>
      </c>
      <c r="B49" s="247" t="str">
        <f>IF($J$7='시료채취 작성'!F50,'시료채취 작성'!D50,"")</f>
        <v/>
      </c>
      <c r="C49" s="247" t="str">
        <f>IF($J$7='시료채취 작성'!$F50,'시료채취 작성'!E50,"")</f>
        <v/>
      </c>
      <c r="D49" s="248" t="str">
        <f>IF($J$7='시료채취 작성'!$F50,'시료채취 작성'!G50,"")</f>
        <v/>
      </c>
      <c r="E49" s="248" t="str">
        <f>IF($J$7='시료채취 작성'!$F50,'시료채취 작성'!H50,"")</f>
        <v/>
      </c>
      <c r="F49" s="247" t="str">
        <f>IF($J$7='시료채취 작성'!$F50,'시료채취 작성'!I50,"")</f>
        <v/>
      </c>
      <c r="G49" s="247" t="str">
        <f>IF($J$7='시료채취 작성'!$F50,'시료채취 작성'!J50,"")</f>
        <v/>
      </c>
      <c r="H49" s="247" t="str">
        <f>IF($J$7='시료채취 작성'!$F50,'시료채취 작성'!K50,"")</f>
        <v/>
      </c>
      <c r="I49" s="9"/>
      <c r="J49" s="9"/>
      <c r="K49" s="37"/>
      <c r="M49" s="6">
        <v>9</v>
      </c>
      <c r="N49" s="2" t="str">
        <f t="shared" si="0"/>
        <v/>
      </c>
    </row>
    <row r="50" spans="1:15" ht="30" customHeight="1" x14ac:dyDescent="0.3">
      <c r="A50" s="14" t="s">
        <v>68</v>
      </c>
      <c r="B50" s="247" t="str">
        <f>IF($J$7='시료채취 작성'!F51,'시료채취 작성'!D51,"")</f>
        <v/>
      </c>
      <c r="C50" s="247" t="str">
        <f>IF($J$7='시료채취 작성'!$F51,'시료채취 작성'!E51,"")</f>
        <v/>
      </c>
      <c r="D50" s="248" t="str">
        <f>IF($J$7='시료채취 작성'!$F51,'시료채취 작성'!G51,"")</f>
        <v/>
      </c>
      <c r="E50" s="248" t="str">
        <f>IF($J$7='시료채취 작성'!$F51,'시료채취 작성'!H51,"")</f>
        <v/>
      </c>
      <c r="F50" s="247" t="str">
        <f>IF($J$7='시료채취 작성'!$F51,'시료채취 작성'!I51,"")</f>
        <v/>
      </c>
      <c r="G50" s="247" t="str">
        <f>IF($J$7='시료채취 작성'!$F51,'시료채취 작성'!J51,"")</f>
        <v/>
      </c>
      <c r="H50" s="247" t="str">
        <f>IF($J$7='시료채취 작성'!$F51,'시료채취 작성'!K51,"")</f>
        <v/>
      </c>
      <c r="I50" s="9"/>
      <c r="J50" s="9"/>
      <c r="K50" s="37"/>
      <c r="M50" s="6">
        <v>9</v>
      </c>
      <c r="N50" s="2" t="str">
        <f t="shared" si="0"/>
        <v/>
      </c>
    </row>
    <row r="51" spans="1:15" ht="30" customHeight="1" x14ac:dyDescent="0.3">
      <c r="A51" s="14" t="s">
        <v>69</v>
      </c>
      <c r="B51" s="247" t="str">
        <f>IF($J$7='시료채취 작성'!F52,'시료채취 작성'!D52,"")</f>
        <v/>
      </c>
      <c r="C51" s="247" t="str">
        <f>IF($J$7='시료채취 작성'!$F52,'시료채취 작성'!E52,"")</f>
        <v/>
      </c>
      <c r="D51" s="248" t="str">
        <f>IF($J$7='시료채취 작성'!$F52,'시료채취 작성'!G52,"")</f>
        <v/>
      </c>
      <c r="E51" s="248" t="str">
        <f>IF($J$7='시료채취 작성'!$F52,'시료채취 작성'!H52,"")</f>
        <v/>
      </c>
      <c r="F51" s="247" t="str">
        <f>IF($J$7='시료채취 작성'!$F52,'시료채취 작성'!I52,"")</f>
        <v/>
      </c>
      <c r="G51" s="247" t="str">
        <f>IF($J$7='시료채취 작성'!$F52,'시료채취 작성'!J52,"")</f>
        <v/>
      </c>
      <c r="H51" s="247" t="str">
        <f>IF($J$7='시료채취 작성'!$F52,'시료채취 작성'!K52,"")</f>
        <v/>
      </c>
      <c r="I51" s="9"/>
      <c r="J51" s="9"/>
      <c r="K51" s="37"/>
      <c r="M51" s="6">
        <v>9</v>
      </c>
      <c r="N51" s="2" t="str">
        <f t="shared" si="0"/>
        <v/>
      </c>
    </row>
    <row r="52" spans="1:15" ht="30" customHeight="1" x14ac:dyDescent="0.3">
      <c r="A52" s="38" t="s">
        <v>162</v>
      </c>
      <c r="B52" s="247" t="str">
        <f>IF($J$7='시료채취 작성'!F53,'시료채취 작성'!D53,"")</f>
        <v/>
      </c>
      <c r="C52" s="247" t="str">
        <f>IF($J$7='시료채취 작성'!$F53,'시료채취 작성'!E53,"")</f>
        <v/>
      </c>
      <c r="D52" s="248" t="str">
        <f>IF($J$7='시료채취 작성'!$F53,'시료채취 작성'!G53,"")</f>
        <v/>
      </c>
      <c r="E52" s="248" t="str">
        <f>IF($J$7='시료채취 작성'!$F53,'시료채취 작성'!H53,"")</f>
        <v/>
      </c>
      <c r="F52" s="247" t="str">
        <f>IF($J$7='시료채취 작성'!$F53,'시료채취 작성'!I53,"")</f>
        <v/>
      </c>
      <c r="G52" s="247" t="str">
        <f>IF($J$7='시료채취 작성'!$F53,'시료채취 작성'!J53,"")</f>
        <v/>
      </c>
      <c r="H52" s="247" t="str">
        <f>IF($J$7='시료채취 작성'!$F53,'시료채취 작성'!K53,"")</f>
        <v/>
      </c>
      <c r="I52" s="39"/>
      <c r="J52" s="39"/>
      <c r="K52" s="57"/>
      <c r="M52" s="53"/>
      <c r="N52" s="54"/>
    </row>
    <row r="53" spans="1:15" ht="30" customHeight="1" x14ac:dyDescent="0.3">
      <c r="A53" s="38" t="s">
        <v>163</v>
      </c>
      <c r="B53" s="247" t="str">
        <f>IF($J$7='시료채취 작성'!F54,'시료채취 작성'!D54,"")</f>
        <v/>
      </c>
      <c r="C53" s="247" t="str">
        <f>IF($J$7='시료채취 작성'!$F54,'시료채취 작성'!E54,"")</f>
        <v/>
      </c>
      <c r="D53" s="248" t="str">
        <f>IF($J$7='시료채취 작성'!$F54,'시료채취 작성'!G54,"")</f>
        <v/>
      </c>
      <c r="E53" s="248" t="str">
        <f>IF($J$7='시료채취 작성'!$F54,'시료채취 작성'!H54,"")</f>
        <v/>
      </c>
      <c r="F53" s="247" t="str">
        <f>IF($J$7='시료채취 작성'!$F54,'시료채취 작성'!I54,"")</f>
        <v/>
      </c>
      <c r="G53" s="247" t="str">
        <f>IF($J$7='시료채취 작성'!$F54,'시료채취 작성'!J54,"")</f>
        <v/>
      </c>
      <c r="H53" s="247" t="str">
        <f>IF($J$7='시료채취 작성'!$F54,'시료채취 작성'!K54,"")</f>
        <v/>
      </c>
      <c r="I53" s="39"/>
      <c r="J53" s="39"/>
      <c r="K53" s="57"/>
      <c r="M53" s="53"/>
      <c r="N53" s="54"/>
    </row>
    <row r="54" spans="1:15" ht="30" customHeight="1" x14ac:dyDescent="0.3">
      <c r="A54" s="38" t="s">
        <v>164</v>
      </c>
      <c r="B54" s="247" t="str">
        <f>IF($J$7='시료채취 작성'!F55,'시료채취 작성'!D55,"")</f>
        <v/>
      </c>
      <c r="C54" s="247" t="str">
        <f>IF($J$7='시료채취 작성'!$F55,'시료채취 작성'!E55,"")</f>
        <v/>
      </c>
      <c r="D54" s="248" t="str">
        <f>IF($J$7='시료채취 작성'!$F55,'시료채취 작성'!G55,"")</f>
        <v/>
      </c>
      <c r="E54" s="248" t="str">
        <f>IF($J$7='시료채취 작성'!$F55,'시료채취 작성'!H55,"")</f>
        <v/>
      </c>
      <c r="F54" s="247" t="str">
        <f>IF($J$7='시료채취 작성'!$F55,'시료채취 작성'!I55,"")</f>
        <v/>
      </c>
      <c r="G54" s="247" t="str">
        <f>IF($J$7='시료채취 작성'!$F55,'시료채취 작성'!J55,"")</f>
        <v/>
      </c>
      <c r="H54" s="247" t="str">
        <f>IF($J$7='시료채취 작성'!$F55,'시료채취 작성'!K55,"")</f>
        <v/>
      </c>
      <c r="I54" s="39"/>
      <c r="J54" s="39"/>
      <c r="K54" s="57"/>
      <c r="M54" s="53"/>
      <c r="N54" s="54"/>
    </row>
    <row r="55" spans="1:15" ht="30" customHeight="1" x14ac:dyDescent="0.3">
      <c r="A55" s="38" t="s">
        <v>165</v>
      </c>
      <c r="B55" s="247" t="str">
        <f>IF($J$7='시료채취 작성'!F56,'시료채취 작성'!D56,"")</f>
        <v/>
      </c>
      <c r="C55" s="247" t="str">
        <f>IF($J$7='시료채취 작성'!$F56,'시료채취 작성'!E56,"")</f>
        <v/>
      </c>
      <c r="D55" s="248" t="str">
        <f>IF($J$7='시료채취 작성'!$F56,'시료채취 작성'!G56,"")</f>
        <v/>
      </c>
      <c r="E55" s="248" t="str">
        <f>IF($J$7='시료채취 작성'!$F56,'시료채취 작성'!H56,"")</f>
        <v/>
      </c>
      <c r="F55" s="247" t="str">
        <f>IF($J$7='시료채취 작성'!$F56,'시료채취 작성'!I56,"")</f>
        <v/>
      </c>
      <c r="G55" s="247" t="str">
        <f>IF($J$7='시료채취 작성'!$F56,'시료채취 작성'!J56,"")</f>
        <v/>
      </c>
      <c r="H55" s="247" t="str">
        <f>IF($J$7='시료채취 작성'!$F56,'시료채취 작성'!K56,"")</f>
        <v/>
      </c>
      <c r="I55" s="39"/>
      <c r="J55" s="39"/>
      <c r="K55" s="57"/>
      <c r="M55" s="53"/>
      <c r="N55" s="54"/>
    </row>
    <row r="56" spans="1:15" ht="30" customHeight="1" thickBot="1" x14ac:dyDescent="0.35">
      <c r="A56" s="38" t="s">
        <v>151</v>
      </c>
      <c r="B56" s="247" t="str">
        <f>IF($J$7='시료채취 작성'!F57,'시료채취 작성'!D57,"")</f>
        <v/>
      </c>
      <c r="C56" s="247" t="str">
        <f>IF($J$7='시료채취 작성'!$F57,'시료채취 작성'!E57,"")</f>
        <v/>
      </c>
      <c r="D56" s="248" t="str">
        <f>IF($J$7='시료채취 작성'!$F57,'시료채취 작성'!G57,"")</f>
        <v/>
      </c>
      <c r="E56" s="248" t="str">
        <f>IF($J$7='시료채취 작성'!$F57,'시료채취 작성'!H57,"")</f>
        <v/>
      </c>
      <c r="F56" s="247" t="str">
        <f>IF($J$7='시료채취 작성'!$F57,'시료채취 작성'!I57,"")</f>
        <v/>
      </c>
      <c r="G56" s="247" t="str">
        <f>IF($J$7='시료채취 작성'!$F57,'시료채취 작성'!J57,"")</f>
        <v/>
      </c>
      <c r="H56" s="247" t="str">
        <f>IF($J$7='시료채취 작성'!$F57,'시료채취 작성'!K57,"")</f>
        <v/>
      </c>
      <c r="I56" s="39"/>
      <c r="J56" s="39"/>
      <c r="K56" s="57"/>
      <c r="L56" s="5"/>
      <c r="M56" s="4">
        <v>9</v>
      </c>
      <c r="N56" s="52" t="str">
        <f t="shared" si="0"/>
        <v/>
      </c>
    </row>
    <row r="57" spans="1:15" ht="30" customHeight="1" x14ac:dyDescent="0.3">
      <c r="A57" s="321" t="s">
        <v>73</v>
      </c>
      <c r="B57" s="317">
        <f>J7</f>
        <v>46322</v>
      </c>
      <c r="C57" s="29" t="s">
        <v>74</v>
      </c>
      <c r="D57" s="319" t="s">
        <v>75</v>
      </c>
      <c r="E57" s="320"/>
      <c r="F57" s="319" t="str">
        <f>'시료채취 작성'!F58</f>
        <v>전문위원</v>
      </c>
      <c r="G57" s="320"/>
      <c r="H57" s="319" t="str">
        <f>'시료채취 작성'!H58</f>
        <v>전문위원</v>
      </c>
      <c r="I57" s="320"/>
      <c r="J57" s="319" t="s">
        <v>132</v>
      </c>
      <c r="K57" s="320"/>
      <c r="M57" s="10" t="s">
        <v>92</v>
      </c>
      <c r="N57" s="11">
        <f>MIN(N12:N56)</f>
        <v>46322</v>
      </c>
    </row>
    <row r="58" spans="1:15" ht="38.25" customHeight="1" thickBot="1" x14ac:dyDescent="0.35">
      <c r="A58" s="322"/>
      <c r="B58" s="318"/>
      <c r="C58" s="31" t="s">
        <v>77</v>
      </c>
      <c r="D58" s="42" t="str">
        <f>IF('시료채취 작성'!E59="","",'시료채취 작성'!E59)</f>
        <v>류승훈</v>
      </c>
      <c r="E58" s="43" t="s">
        <v>94</v>
      </c>
      <c r="F58" s="42" t="str">
        <f>IF('시료채취 작성'!F59="","",'시료채취 작성'!F59)</f>
        <v>권준형</v>
      </c>
      <c r="G58" s="43" t="s">
        <v>94</v>
      </c>
      <c r="H58" s="42" t="str">
        <f>IF('시료채취 작성'!G59="","",'시료채취 작성'!G59)</f>
        <v>이상석</v>
      </c>
      <c r="I58" s="43" t="s">
        <v>94</v>
      </c>
      <c r="J58" s="262" t="s">
        <v>179</v>
      </c>
      <c r="K58" s="263" t="s">
        <v>180</v>
      </c>
      <c r="M58" s="12" t="s">
        <v>93</v>
      </c>
      <c r="N58" s="11">
        <f>MAX(N12:N56)</f>
        <v>46335</v>
      </c>
      <c r="O58" s="55" t="s">
        <v>100</v>
      </c>
    </row>
    <row r="59" spans="1:15" ht="18" thickBot="1" x14ac:dyDescent="0.35">
      <c r="A59" s="182"/>
      <c r="B59" s="183"/>
      <c r="C59" s="183"/>
      <c r="D59" s="184"/>
      <c r="E59" s="184"/>
      <c r="F59" s="184"/>
      <c r="G59" s="184"/>
      <c r="H59" s="185"/>
      <c r="I59" s="186"/>
      <c r="J59" s="303" t="s">
        <v>128</v>
      </c>
      <c r="K59" s="304"/>
    </row>
  </sheetData>
  <mergeCells count="27">
    <mergeCell ref="N10:N11"/>
    <mergeCell ref="I9:K9"/>
    <mergeCell ref="B10:B11"/>
    <mergeCell ref="I8:K8"/>
    <mergeCell ref="E9:F9"/>
    <mergeCell ref="G9:H9"/>
    <mergeCell ref="C10:C11"/>
    <mergeCell ref="I10:K10"/>
    <mergeCell ref="C8:D8"/>
    <mergeCell ref="C9:D9"/>
    <mergeCell ref="G8:H8"/>
    <mergeCell ref="E8:F8"/>
    <mergeCell ref="D10:E10"/>
    <mergeCell ref="F10:H10"/>
    <mergeCell ref="J59:K59"/>
    <mergeCell ref="J2:K3"/>
    <mergeCell ref="A2:I6"/>
    <mergeCell ref="D7:F7"/>
    <mergeCell ref="M10:M11"/>
    <mergeCell ref="B57:B58"/>
    <mergeCell ref="D57:E57"/>
    <mergeCell ref="F57:G57"/>
    <mergeCell ref="A57:A58"/>
    <mergeCell ref="A10:A11"/>
    <mergeCell ref="J7:K7"/>
    <mergeCell ref="H57:I57"/>
    <mergeCell ref="J57:K57"/>
  </mergeCells>
  <phoneticPr fontId="1" type="noConversion"/>
  <pageMargins left="0.70866141732283472" right="0.51181102362204722" top="0.47244094488188981" bottom="0.19685039370078741" header="0.23622047244094491" footer="0.11811023622047245"/>
  <pageSetup paperSize="9" scale="45" orientation="portrait" r:id="rId1"/>
  <headerFooter>
    <oddFooter>&amp;R&amp;"+,굵게"&amp;12수도권대기환경청 조사분석과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142F-F0DD-49C2-8299-C7C83C30C54C}">
  <dimension ref="A1:O59"/>
  <sheetViews>
    <sheetView view="pageBreakPreview" zoomScale="70" zoomScaleNormal="100" zoomScaleSheetLayoutView="70" zoomScalePageLayoutView="70" workbookViewId="0">
      <selection activeCell="N16" sqref="N16"/>
    </sheetView>
  </sheetViews>
  <sheetFormatPr defaultColWidth="9" defaultRowHeight="16.5" x14ac:dyDescent="0.3"/>
  <cols>
    <col min="1" max="1" width="18.375" bestFit="1" customWidth="1"/>
    <col min="2" max="2" width="41.125" customWidth="1"/>
    <col min="3" max="3" width="15.125" bestFit="1" customWidth="1"/>
    <col min="4" max="11" width="11.625" customWidth="1"/>
    <col min="13" max="13" width="13" bestFit="1" customWidth="1"/>
    <col min="14" max="14" width="12.25" bestFit="1" customWidth="1"/>
  </cols>
  <sheetData>
    <row r="1" spans="1:14" ht="17.25" thickBot="1" x14ac:dyDescent="0.35"/>
    <row r="2" spans="1:14" ht="20.100000000000001" customHeight="1" x14ac:dyDescent="0.3">
      <c r="A2" s="309" t="s">
        <v>0</v>
      </c>
      <c r="B2" s="309"/>
      <c r="C2" s="309"/>
      <c r="D2" s="309"/>
      <c r="E2" s="309"/>
      <c r="F2" s="309"/>
      <c r="G2" s="309"/>
      <c r="H2" s="309"/>
      <c r="I2" s="310"/>
      <c r="J2" s="305" t="s">
        <v>129</v>
      </c>
      <c r="K2" s="306"/>
    </row>
    <row r="3" spans="1:14" ht="20.100000000000001" customHeight="1" x14ac:dyDescent="0.3">
      <c r="A3" s="309"/>
      <c r="B3" s="309"/>
      <c r="C3" s="309"/>
      <c r="D3" s="309"/>
      <c r="E3" s="309"/>
      <c r="F3" s="309"/>
      <c r="G3" s="309"/>
      <c r="H3" s="309"/>
      <c r="I3" s="310"/>
      <c r="J3" s="307"/>
      <c r="K3" s="308"/>
    </row>
    <row r="4" spans="1:14" ht="20.100000000000001" customHeight="1" x14ac:dyDescent="0.3">
      <c r="A4" s="309"/>
      <c r="B4" s="309"/>
      <c r="C4" s="309"/>
      <c r="D4" s="309"/>
      <c r="E4" s="309"/>
      <c r="F4" s="309"/>
      <c r="G4" s="309"/>
      <c r="H4" s="309"/>
      <c r="I4" s="310"/>
      <c r="J4" s="211"/>
      <c r="K4" s="212"/>
    </row>
    <row r="5" spans="1:14" ht="20.100000000000001" customHeight="1" x14ac:dyDescent="0.3">
      <c r="A5" s="309"/>
      <c r="B5" s="309"/>
      <c r="C5" s="309"/>
      <c r="D5" s="309"/>
      <c r="E5" s="309"/>
      <c r="F5" s="309"/>
      <c r="G5" s="309"/>
      <c r="H5" s="309"/>
      <c r="I5" s="310"/>
      <c r="J5" s="211"/>
      <c r="K5" s="212"/>
    </row>
    <row r="6" spans="1:14" ht="20.100000000000001" customHeight="1" thickBot="1" x14ac:dyDescent="0.35">
      <c r="A6" s="311"/>
      <c r="B6" s="311"/>
      <c r="C6" s="311"/>
      <c r="D6" s="311"/>
      <c r="E6" s="311"/>
      <c r="F6" s="311"/>
      <c r="G6" s="311"/>
      <c r="H6" s="311"/>
      <c r="I6" s="311"/>
      <c r="J6" s="213"/>
      <c r="K6" s="214"/>
    </row>
    <row r="7" spans="1:14" ht="48.95" customHeight="1" x14ac:dyDescent="0.3">
      <c r="A7" s="28" t="s">
        <v>1</v>
      </c>
      <c r="B7" s="67" t="str">
        <f>'시료채취 작성'!C4</f>
        <v>지에스파워㈜ 부천열병합발전처</v>
      </c>
      <c r="C7" s="66" t="s">
        <v>2</v>
      </c>
      <c r="D7" s="312" t="str">
        <f>'시료채취 작성'!F4</f>
        <v>화력발전업(35113)</v>
      </c>
      <c r="E7" s="313"/>
      <c r="F7" s="314"/>
      <c r="G7" s="66" t="s">
        <v>3</v>
      </c>
      <c r="H7" s="25" t="str">
        <f>'시료채취 작성'!M4</f>
        <v>#A-30</v>
      </c>
      <c r="I7" s="66" t="s">
        <v>99</v>
      </c>
      <c r="J7" s="325">
        <f>'시료채취 작성'!C7</f>
        <v>46323</v>
      </c>
      <c r="K7" s="326"/>
    </row>
    <row r="8" spans="1:14" ht="30" customHeight="1" x14ac:dyDescent="0.3">
      <c r="A8" s="30" t="s">
        <v>6</v>
      </c>
      <c r="B8" s="13" t="s">
        <v>84</v>
      </c>
      <c r="C8" s="334" t="s">
        <v>88</v>
      </c>
      <c r="D8" s="340"/>
      <c r="E8" s="334" t="s">
        <v>89</v>
      </c>
      <c r="F8" s="340"/>
      <c r="G8" s="334" t="s">
        <v>10</v>
      </c>
      <c r="H8" s="340"/>
      <c r="I8" s="334" t="s">
        <v>90</v>
      </c>
      <c r="J8" s="335"/>
      <c r="K8" s="336"/>
    </row>
    <row r="9" spans="1:14" ht="30" customHeight="1" thickBot="1" x14ac:dyDescent="0.35">
      <c r="A9" s="4" t="str">
        <f>IF(J7='시료채취 작성'!C7,'시료채취 작성'!D7," ")</f>
        <v>맑음</v>
      </c>
      <c r="B9" s="17">
        <f>IF(J7='시료채취 작성'!C7,'시료채취 작성'!E7," ")</f>
        <v>28.9</v>
      </c>
      <c r="C9" s="329">
        <f>IF(J7='시료채취 작성'!C7,'시료채취 작성'!G7)</f>
        <v>25</v>
      </c>
      <c r="D9" s="337"/>
      <c r="E9" s="329">
        <f>IF(J7='시료채취 작성'!C7,'시료채취 작성'!I7," ")</f>
        <v>778</v>
      </c>
      <c r="F9" s="337"/>
      <c r="G9" s="329" t="str">
        <f>IF(J7='시료채취 작성'!C7,'시료채취 작성'!K7," ")</f>
        <v>동</v>
      </c>
      <c r="H9" s="337"/>
      <c r="I9" s="329">
        <f>IF(J7='시료채취 작성'!C7,'시료채취 작성'!M7," ")</f>
        <v>2.5</v>
      </c>
      <c r="J9" s="330"/>
      <c r="K9" s="331"/>
    </row>
    <row r="10" spans="1:14" ht="30" customHeight="1" x14ac:dyDescent="0.3">
      <c r="A10" s="323" t="s">
        <v>15</v>
      </c>
      <c r="B10" s="332" t="s">
        <v>83</v>
      </c>
      <c r="C10" s="332" t="s">
        <v>17</v>
      </c>
      <c r="D10" s="319" t="s">
        <v>18</v>
      </c>
      <c r="E10" s="320"/>
      <c r="F10" s="319" t="s">
        <v>19</v>
      </c>
      <c r="G10" s="338"/>
      <c r="H10" s="320"/>
      <c r="I10" s="319" t="s">
        <v>85</v>
      </c>
      <c r="J10" s="338"/>
      <c r="K10" s="339"/>
      <c r="M10" s="315" t="s">
        <v>79</v>
      </c>
      <c r="N10" s="327" t="s">
        <v>21</v>
      </c>
    </row>
    <row r="11" spans="1:14" ht="30" customHeight="1" thickBot="1" x14ac:dyDescent="0.35">
      <c r="A11" s="324"/>
      <c r="B11" s="333"/>
      <c r="C11" s="333"/>
      <c r="D11" s="255" t="s">
        <v>23</v>
      </c>
      <c r="E11" s="255" t="s">
        <v>24</v>
      </c>
      <c r="F11" s="255" t="s">
        <v>25</v>
      </c>
      <c r="G11" s="255" t="s">
        <v>26</v>
      </c>
      <c r="H11" s="255" t="s">
        <v>27</v>
      </c>
      <c r="I11" s="255" t="s">
        <v>28</v>
      </c>
      <c r="J11" s="255" t="s">
        <v>29</v>
      </c>
      <c r="K11" s="45" t="s">
        <v>30</v>
      </c>
      <c r="M11" s="316"/>
      <c r="N11" s="328"/>
    </row>
    <row r="12" spans="1:14" ht="30" customHeight="1" thickTop="1" x14ac:dyDescent="0.3">
      <c r="A12" s="23" t="s">
        <v>33</v>
      </c>
      <c r="B12" s="26" t="str">
        <f>IF($J$7='시료채취 작성'!F13,'시료채취 작성'!D13,"")</f>
        <v/>
      </c>
      <c r="C12" s="26" t="str">
        <f>IF($J$7='시료채취 작성'!$F13,'시료채취 작성'!E13,"")</f>
        <v/>
      </c>
      <c r="D12" s="35" t="str">
        <f>IF($J$7='시료채취 작성'!$F13,'시료채취 작성'!G13,"")</f>
        <v/>
      </c>
      <c r="E12" s="35" t="str">
        <f>IF($J$7='시료채취 작성'!$F13,'시료채취 작성'!H13,"")</f>
        <v/>
      </c>
      <c r="F12" s="26" t="str">
        <f>IF($J$7='시료채취 작성'!$F13,'시료채취 작성'!I13,"")</f>
        <v/>
      </c>
      <c r="G12" s="26" t="str">
        <f>IF($J$7='시료채취 작성'!$F13,'시료채취 작성'!J13,"")</f>
        <v/>
      </c>
      <c r="H12" s="209" t="str">
        <f>IF($J$7='시료채취 작성'!$F13,'시료채취 작성'!K13,"")</f>
        <v/>
      </c>
      <c r="I12" s="41"/>
      <c r="J12" s="41"/>
      <c r="K12" s="56"/>
      <c r="M12" s="1">
        <v>2</v>
      </c>
      <c r="N12" s="2" t="str">
        <f>IF(B12="","",(WORKDAY($J$7,DAY(M12),0)))</f>
        <v/>
      </c>
    </row>
    <row r="13" spans="1:14" ht="30" customHeight="1" x14ac:dyDescent="0.3">
      <c r="A13" s="22" t="s">
        <v>46</v>
      </c>
      <c r="B13" s="26" t="str">
        <f>IF($J$7='시료채취 작성'!F14,'시료채취 작성'!D14,"")</f>
        <v/>
      </c>
      <c r="C13" s="26" t="str">
        <f>IF($J$7='시료채취 작성'!$F14,'시료채취 작성'!E14,"")</f>
        <v/>
      </c>
      <c r="D13" s="35" t="str">
        <f>IF($J$7='시료채취 작성'!$F14,'시료채취 작성'!G14,"")</f>
        <v/>
      </c>
      <c r="E13" s="35" t="str">
        <f>IF($J$7='시료채취 작성'!$F14,'시료채취 작성'!H14,"")</f>
        <v/>
      </c>
      <c r="F13" s="9"/>
      <c r="G13" s="9"/>
      <c r="H13" s="9"/>
      <c r="I13" s="9"/>
      <c r="J13" s="9"/>
      <c r="K13" s="37"/>
      <c r="M13" s="49" t="s">
        <v>80</v>
      </c>
      <c r="N13" s="33" t="s">
        <v>80</v>
      </c>
    </row>
    <row r="14" spans="1:14" ht="30" customHeight="1" x14ac:dyDescent="0.3">
      <c r="A14" s="22" t="s">
        <v>45</v>
      </c>
      <c r="B14" s="26" t="str">
        <f>IF($J$7='시료채취 작성'!F15,'시료채취 작성'!D15,"")</f>
        <v/>
      </c>
      <c r="C14" s="26" t="str">
        <f>IF($J$7='시료채취 작성'!$F15,'시료채취 작성'!E15,"")</f>
        <v/>
      </c>
      <c r="D14" s="35" t="str">
        <f>IF($J$7='시료채취 작성'!$F15,'시료채취 작성'!G15,"")</f>
        <v/>
      </c>
      <c r="E14" s="35" t="str">
        <f>IF($J$7='시료채취 작성'!$F15,'시료채취 작성'!H15,"")</f>
        <v/>
      </c>
      <c r="F14" s="9"/>
      <c r="G14" s="9"/>
      <c r="H14" s="9"/>
      <c r="I14" s="9"/>
      <c r="J14" s="9"/>
      <c r="K14" s="37"/>
      <c r="M14" s="49" t="s">
        <v>80</v>
      </c>
      <c r="N14" s="33" t="s">
        <v>80</v>
      </c>
    </row>
    <row r="15" spans="1:14" ht="30" customHeight="1" x14ac:dyDescent="0.3">
      <c r="A15" s="22" t="s">
        <v>44</v>
      </c>
      <c r="C15" s="26" t="str">
        <f>IF($J$7='시료채취 작성'!$F16,'시료채취 작성'!E16,"")</f>
        <v/>
      </c>
      <c r="D15" s="35" t="str">
        <f>IF($J$7='시료채취 작성'!$F16,'시료채취 작성'!G16,"")</f>
        <v/>
      </c>
      <c r="E15" s="35" t="str">
        <f>IF($J$7='시료채취 작성'!$F16,'시료채취 작성'!H16,"")</f>
        <v/>
      </c>
      <c r="F15" s="9"/>
      <c r="G15" s="9"/>
      <c r="H15" s="9"/>
      <c r="I15" s="9"/>
      <c r="J15" s="9"/>
      <c r="K15" s="37"/>
      <c r="M15" s="50" t="s">
        <v>80</v>
      </c>
      <c r="N15" s="51" t="s">
        <v>80</v>
      </c>
    </row>
    <row r="16" spans="1:14" ht="30" customHeight="1" x14ac:dyDescent="0.3">
      <c r="A16" s="22" t="s">
        <v>177</v>
      </c>
      <c r="B16" s="247" t="str">
        <f>IF($J$7='시료채취 작성'!F17,'시료채취 작성'!D17,"")</f>
        <v>1028-GSP-#A-30-NH3-BA-1</v>
      </c>
      <c r="C16" s="247" t="str">
        <f>IF($J$7='시료채취 작성'!$F17,'시료채취 작성'!E17,"")</f>
        <v>가스샘플러1</v>
      </c>
      <c r="D16" s="248">
        <f>IF($J$7='시료채취 작성'!$F17,'시료채취 작성'!G17,"")</f>
        <v>0.4777777777777778</v>
      </c>
      <c r="E16" s="248">
        <f>IF($J$7='시료채취 작성'!$F17,'시료채취 작성'!H17,"")</f>
        <v>0.48680555555555555</v>
      </c>
      <c r="F16" s="8">
        <f>IF($J$7='시료채취 작성'!$F17,'시료채취 작성'!I17,"")</f>
        <v>2109.15</v>
      </c>
      <c r="G16" s="8">
        <f>IF($J$7='시료채취 작성'!$F17,'시료채취 작성'!J17,"")</f>
        <v>2129.5</v>
      </c>
      <c r="H16" s="8">
        <f>IF($J$7='시료채취 작성'!$F17,'시료채취 작성'!K17,"")</f>
        <v>20.058994999999911</v>
      </c>
      <c r="I16" s="247">
        <f>IF($J$7='시료채취 작성'!$F17,'시료채취 작성'!L17,"")</f>
        <v>25</v>
      </c>
      <c r="J16" s="247">
        <f>IF($J$7='시료채취 작성'!$F17,'시료채취 작성'!M17,"")</f>
        <v>20</v>
      </c>
      <c r="K16" s="15">
        <f>IF($J$7='시료채취 작성'!$F17,'시료채취 작성'!N17,"")</f>
        <v>1.4705882352941178</v>
      </c>
      <c r="M16" s="50">
        <v>3</v>
      </c>
      <c r="N16" s="2">
        <f>IF(B16="","",(WORKDAY($J$7,DAY(M16),0)))</f>
        <v>46328</v>
      </c>
    </row>
    <row r="17" spans="1:14" ht="30" customHeight="1" x14ac:dyDescent="0.3">
      <c r="A17" s="22" t="s">
        <v>178</v>
      </c>
      <c r="B17" s="247" t="str">
        <f>IF($J$7='시료채취 작성'!F18,'시료채취 작성'!D18,"")</f>
        <v>1028-GSP-#A-30-NH3-H2O2-1</v>
      </c>
      <c r="C17" s="247" t="str">
        <f>IF($J$7='시료채취 작성'!$F18,'시료채취 작성'!E18,"")</f>
        <v>가스샘플러1</v>
      </c>
      <c r="D17" s="248">
        <f>IF($J$7='시료채취 작성'!$F18,'시료채취 작성'!G18,"")</f>
        <v>0.48749999999999999</v>
      </c>
      <c r="E17" s="248">
        <f>IF($J$7='시료채취 작성'!$F18,'시료채취 작성'!H18,"")</f>
        <v>0.49583333333333335</v>
      </c>
      <c r="F17" s="8">
        <f>IF($J$7='시료채취 작성'!$F18,'시료채취 작성'!I18,"")</f>
        <v>2129.5</v>
      </c>
      <c r="G17" s="8">
        <f>IF($J$7='시료채취 작성'!$F18,'시료채취 작성'!J18,"")</f>
        <v>2150.1</v>
      </c>
      <c r="H17" s="8">
        <f>IF($J$7='시료채취 작성'!$F18,'시료채취 작성'!K18,"")</f>
        <v>20.305419999999909</v>
      </c>
      <c r="I17" s="247">
        <f>IF($J$7='시료채취 작성'!$F18,'시료채취 작성'!L18,"")</f>
        <v>25</v>
      </c>
      <c r="J17" s="247">
        <f>IF($J$7='시료채취 작성'!$F18,'시료채취 작성'!M18,"")</f>
        <v>20</v>
      </c>
      <c r="K17" s="15">
        <f>IF($J$7='시료채취 작성'!$F18,'시료채취 작성'!N18,"")</f>
        <v>1.4705882352941178</v>
      </c>
      <c r="M17" s="6">
        <v>3</v>
      </c>
      <c r="N17" s="2">
        <f>IF(B17="","",(WORKDAY($J$7,DAY(M17),0)))</f>
        <v>46328</v>
      </c>
    </row>
    <row r="18" spans="1:14" ht="30" customHeight="1" x14ac:dyDescent="0.3">
      <c r="A18" s="22" t="s">
        <v>103</v>
      </c>
      <c r="B18" s="247" t="str">
        <f>IF($J$7='시료채취 작성'!F19,'시료채취 작성'!D19,"")</f>
        <v/>
      </c>
      <c r="C18" s="247" t="str">
        <f>IF($J$7='시료채취 작성'!$F19,'시료채취 작성'!E19,"")</f>
        <v/>
      </c>
      <c r="D18" s="248" t="str">
        <f>IF($J$7='시료채취 작성'!$F19,'시료채취 작성'!G19,"")</f>
        <v/>
      </c>
      <c r="E18" s="248" t="str">
        <f>IF($J$7='시료채취 작성'!$F19,'시료채취 작성'!H19,"")</f>
        <v/>
      </c>
      <c r="F18" s="247" t="str">
        <f>IF($J$7='시료채취 작성'!$F19,'시료채취 작성'!I19,"")</f>
        <v/>
      </c>
      <c r="G18" s="247" t="str">
        <f>IF($J$7='시료채취 작성'!$F19,'시료채취 작성'!J19,"")</f>
        <v/>
      </c>
      <c r="H18" s="247" t="str">
        <f>IF($J$7='시료채취 작성'!$F19,'시료채취 작성'!K19,"")</f>
        <v/>
      </c>
      <c r="I18" s="247" t="str">
        <f>IF($J$7='시료채취 작성'!$F19,'시료채취 작성'!L19,"")</f>
        <v/>
      </c>
      <c r="J18" s="247" t="str">
        <f>IF($J$7='시료채취 작성'!$F19,'시료채취 작성'!M19,"")</f>
        <v/>
      </c>
      <c r="K18" s="15" t="str">
        <f>IF($J$7='시료채취 작성'!$F19,'시료채취 작성'!N19,"")</f>
        <v/>
      </c>
      <c r="M18" s="6">
        <v>4</v>
      </c>
      <c r="N18" s="2" t="str">
        <f t="shared" ref="N18:N56" si="0">IF(B18="","",(WORKDAY($J$7,DAY(M18),0)))</f>
        <v/>
      </c>
    </row>
    <row r="19" spans="1:14" ht="30" customHeight="1" x14ac:dyDescent="0.3">
      <c r="A19" s="22" t="s">
        <v>52</v>
      </c>
      <c r="B19" s="247" t="str">
        <f>IF($J$7='시료채취 작성'!F20,'시료채취 작성'!D20,"")</f>
        <v/>
      </c>
      <c r="C19" s="247" t="str">
        <f>IF($J$7='시료채취 작성'!$F20,'시료채취 작성'!E20,"")</f>
        <v/>
      </c>
      <c r="D19" s="248" t="str">
        <f>IF($J$7='시료채취 작성'!$F20,'시료채취 작성'!G20,"")</f>
        <v/>
      </c>
      <c r="E19" s="248" t="str">
        <f>IF($J$7='시료채취 작성'!$F20,'시료채취 작성'!H20,"")</f>
        <v/>
      </c>
      <c r="F19" s="247" t="str">
        <f>IF($J$7='시료채취 작성'!$F20,'시료채취 작성'!I20,"")</f>
        <v/>
      </c>
      <c r="G19" s="247" t="str">
        <f>IF($J$7='시료채취 작성'!$F20,'시료채취 작성'!J20,"")</f>
        <v/>
      </c>
      <c r="H19" s="247" t="str">
        <f>IF($J$7='시료채취 작성'!$F20,'시료채취 작성'!K20,"")</f>
        <v/>
      </c>
      <c r="I19" s="247" t="str">
        <f>IF($J$7='시료채취 작성'!$F20,'시료채취 작성'!L20,"")</f>
        <v/>
      </c>
      <c r="J19" s="247" t="str">
        <f>IF($J$7='시료채취 작성'!$F20,'시료채취 작성'!M20,"")</f>
        <v/>
      </c>
      <c r="K19" s="15" t="str">
        <f>IF($J$7='시료채취 작성'!$F20,'시료채취 작성'!N20,"")</f>
        <v/>
      </c>
      <c r="M19" s="6">
        <v>3</v>
      </c>
      <c r="N19" s="2" t="str">
        <f t="shared" si="0"/>
        <v/>
      </c>
    </row>
    <row r="20" spans="1:14" ht="30" customHeight="1" x14ac:dyDescent="0.3">
      <c r="A20" s="22" t="s">
        <v>54</v>
      </c>
      <c r="B20" s="247" t="str">
        <f>IF($J$7='시료채취 작성'!F21,'시료채취 작성'!D21,"")</f>
        <v/>
      </c>
      <c r="C20" s="247" t="str">
        <f>IF($J$7='시료채취 작성'!$F21,'시료채취 작성'!E21,"")</f>
        <v/>
      </c>
      <c r="D20" s="248" t="str">
        <f>IF($J$7='시료채취 작성'!$F21,'시료채취 작성'!G21,"")</f>
        <v/>
      </c>
      <c r="E20" s="248" t="str">
        <f>IF($J$7='시료채취 작성'!$F21,'시료채취 작성'!H21,"")</f>
        <v/>
      </c>
      <c r="F20" s="247" t="str">
        <f>IF($J$7='시료채취 작성'!$F21,'시료채취 작성'!I21,"")</f>
        <v/>
      </c>
      <c r="G20" s="247" t="str">
        <f>IF($J$7='시료채취 작성'!$F21,'시료채취 작성'!J21,"")</f>
        <v/>
      </c>
      <c r="H20" s="247" t="str">
        <f>IF($J$7='시료채취 작성'!$F21,'시료채취 작성'!K21,"")</f>
        <v/>
      </c>
      <c r="I20" s="247" t="str">
        <f>IF($J$7='시료채취 작성'!$F21,'시료채취 작성'!L21,"")</f>
        <v/>
      </c>
      <c r="J20" s="247" t="str">
        <f>IF($J$7='시료채취 작성'!$F21,'시료채취 작성'!M21,"")</f>
        <v/>
      </c>
      <c r="K20" s="15" t="str">
        <f>IF($J$7='시료채취 작성'!$F21,'시료채취 작성'!N21,"")</f>
        <v/>
      </c>
      <c r="M20" s="6">
        <v>4</v>
      </c>
      <c r="N20" s="2" t="str">
        <f t="shared" si="0"/>
        <v/>
      </c>
    </row>
    <row r="21" spans="1:14" ht="30" customHeight="1" x14ac:dyDescent="0.3">
      <c r="A21" s="22" t="s">
        <v>102</v>
      </c>
      <c r="B21" s="247" t="str">
        <f>IF($J$7='시료채취 작성'!F22,'시료채취 작성'!D22,"")</f>
        <v/>
      </c>
      <c r="C21" s="247" t="str">
        <f>IF($J$7='시료채취 작성'!$F22,'시료채취 작성'!E22,"")</f>
        <v/>
      </c>
      <c r="D21" s="248" t="str">
        <f>IF($J$7='시료채취 작성'!$F22,'시료채취 작성'!G22,"")</f>
        <v/>
      </c>
      <c r="E21" s="248" t="str">
        <f>IF($J$7='시료채취 작성'!$F22,'시료채취 작성'!H22,"")</f>
        <v/>
      </c>
      <c r="F21" s="247" t="str">
        <f>IF($J$7='시료채취 작성'!$F22,'시료채취 작성'!I22,"")</f>
        <v/>
      </c>
      <c r="G21" s="247" t="str">
        <f>IF($J$7='시료채취 작성'!$F22,'시료채취 작성'!J22,"")</f>
        <v/>
      </c>
      <c r="H21" s="247" t="str">
        <f>IF($J$7='시료채취 작성'!$F22,'시료채취 작성'!K22,"")</f>
        <v/>
      </c>
      <c r="I21" s="247" t="str">
        <f>IF($J$7='시료채취 작성'!$F22,'시료채취 작성'!L22,"")</f>
        <v/>
      </c>
      <c r="J21" s="247" t="str">
        <f>IF($J$7='시료채취 작성'!$F22,'시료채취 작성'!M22,"")</f>
        <v/>
      </c>
      <c r="K21" s="15" t="str">
        <f>IF($J$7='시료채취 작성'!$F22,'시료채취 작성'!N22,"")</f>
        <v/>
      </c>
      <c r="M21" s="6">
        <v>3</v>
      </c>
      <c r="N21" s="48" t="str">
        <f t="shared" si="0"/>
        <v/>
      </c>
    </row>
    <row r="22" spans="1:14" ht="30" customHeight="1" x14ac:dyDescent="0.3">
      <c r="A22" s="245" t="s">
        <v>140</v>
      </c>
      <c r="B22" s="247" t="str">
        <f>IF($J$7='시료채취 작성'!F23,'시료채취 작성'!D23,"")</f>
        <v/>
      </c>
      <c r="C22" s="247" t="str">
        <f>IF($J$7='시료채취 작성'!$F23,'시료채취 작성'!E23,"")</f>
        <v/>
      </c>
      <c r="D22" s="248" t="str">
        <f>IF($J$7='시료채취 작성'!$F23,'시료채취 작성'!G23,"")</f>
        <v/>
      </c>
      <c r="E22" s="248" t="str">
        <f>IF($J$7='시료채취 작성'!$F23,'시료채취 작성'!H23,"")</f>
        <v/>
      </c>
      <c r="F22" s="247" t="str">
        <f>IF($J$7='시료채취 작성'!$F23,'시료채취 작성'!I23,"")</f>
        <v/>
      </c>
      <c r="G22" s="247" t="str">
        <f>IF($J$7='시료채취 작성'!$F23,'시료채취 작성'!J23,"")</f>
        <v/>
      </c>
      <c r="H22" s="247" t="str">
        <f>IF($J$7='시료채취 작성'!$F23,'시료채취 작성'!K23,"")</f>
        <v/>
      </c>
      <c r="I22" s="247" t="str">
        <f>IF($J$7='시료채취 작성'!$F23,'시료채취 작성'!L23,"")</f>
        <v/>
      </c>
      <c r="J22" s="247" t="str">
        <f>IF($J$7='시료채취 작성'!$F23,'시료채취 작성'!M23,"")</f>
        <v/>
      </c>
      <c r="K22" s="15" t="str">
        <f>IF($J$7='시료채취 작성'!$F23,'시료채취 작성'!N23,"")</f>
        <v/>
      </c>
      <c r="M22" s="246"/>
      <c r="N22" s="54"/>
    </row>
    <row r="23" spans="1:14" ht="30" customHeight="1" thickBot="1" x14ac:dyDescent="0.35">
      <c r="A23" s="245" t="s">
        <v>72</v>
      </c>
      <c r="B23" s="341" t="str">
        <f>IF($J$7='시료채취 작성'!F24,'시료채취 작성'!D24,"")</f>
        <v/>
      </c>
      <c r="C23" s="341" t="str">
        <f>IF($J$7='시료채취 작성'!$F24,'시료채취 작성'!E24,"")</f>
        <v/>
      </c>
      <c r="D23" s="342" t="str">
        <f>IF($J$7='시료채취 작성'!$F24,'시료채취 작성'!G24,"")</f>
        <v/>
      </c>
      <c r="E23" s="342" t="str">
        <f>IF($J$7='시료채취 작성'!$F24,'시료채취 작성'!H24,"")</f>
        <v/>
      </c>
      <c r="F23" s="341" t="str">
        <f>IF($J$7='시료채취 작성'!$F24,'시료채취 작성'!I24,"")</f>
        <v/>
      </c>
      <c r="G23" s="341" t="str">
        <f>IF($J$7='시료채취 작성'!$F24,'시료채취 작성'!J24,"")</f>
        <v/>
      </c>
      <c r="H23" s="341" t="str">
        <f>IF($J$7='시료채취 작성'!$F24,'시료채취 작성'!K24,"")</f>
        <v/>
      </c>
      <c r="I23" s="39"/>
      <c r="J23" s="39"/>
      <c r="K23" s="57"/>
      <c r="M23" s="47">
        <v>9</v>
      </c>
      <c r="N23" s="52" t="str">
        <f t="shared" si="0"/>
        <v/>
      </c>
    </row>
    <row r="24" spans="1:14" ht="30" customHeight="1" x14ac:dyDescent="0.3">
      <c r="A24" s="18" t="s">
        <v>35</v>
      </c>
      <c r="B24" s="25" t="str">
        <f>IF($J$7='시료채취 작성'!F25,'시료채취 작성'!D25,"")</f>
        <v/>
      </c>
      <c r="C24" s="25" t="str">
        <f>IF($J$7='시료채취 작성'!$F25,'시료채취 작성'!E25,"")</f>
        <v/>
      </c>
      <c r="D24" s="343" t="str">
        <f>IF($J$7='시료채취 작성'!$F25,'시료채취 작성'!G25,"")</f>
        <v/>
      </c>
      <c r="E24" s="343" t="str">
        <f>IF($J$7='시료채취 작성'!$F25,'시료채취 작성'!H25,"")</f>
        <v/>
      </c>
      <c r="F24" s="25" t="str">
        <f>IF($J$7='시료채취 작성'!$F25,'시료채취 작성'!I25,"")</f>
        <v/>
      </c>
      <c r="G24" s="25" t="str">
        <f>IF($J$7='시료채취 작성'!$F25,'시료채취 작성'!J25,"")</f>
        <v/>
      </c>
      <c r="H24" s="344" t="str">
        <f>IF($J$7='시료채취 작성'!$F25,'시료채취 작성'!K25,"")</f>
        <v/>
      </c>
      <c r="I24" s="345"/>
      <c r="J24" s="345"/>
      <c r="K24" s="346"/>
      <c r="M24" s="1">
        <v>6</v>
      </c>
      <c r="N24" s="2" t="str">
        <f t="shared" si="0"/>
        <v/>
      </c>
    </row>
    <row r="25" spans="1:14" ht="30" customHeight="1" x14ac:dyDescent="0.3">
      <c r="A25" s="19" t="s">
        <v>36</v>
      </c>
      <c r="B25" s="247" t="str">
        <f>IF($J$7='시료채취 작성'!F26,'시료채취 작성'!D26,"")</f>
        <v>1028-GSP-#A-30-M-1</v>
      </c>
      <c r="C25" s="247" t="str">
        <f>IF($J$7='시료채취 작성'!$F26,'시료채취 작성'!E26,"")</f>
        <v>입자샘플러4</v>
      </c>
      <c r="D25" s="248">
        <f>IF($J$7='시료채취 작성'!$F26,'시료채취 작성'!G26,"")</f>
        <v>0.4777777777777778</v>
      </c>
      <c r="E25" s="248">
        <f>IF($J$7='시료채취 작성'!$F26,'시료채취 작성'!H26,"")</f>
        <v>0.53333333333333333</v>
      </c>
      <c r="F25" s="247">
        <f>IF($J$7='시료채취 작성'!$F26,'시료채취 작성'!I26,"")</f>
        <v>6783.07</v>
      </c>
      <c r="G25" s="247">
        <f>IF($J$7='시료채취 작성'!$F26,'시료채취 작성'!J26,"")</f>
        <v>7951.86</v>
      </c>
      <c r="H25" s="8">
        <f>IF($J$7='시료채취 작성'!$F26,'시료채취 작성'!K26,"")</f>
        <v>1165.9849039999999</v>
      </c>
      <c r="I25" s="9"/>
      <c r="J25" s="9"/>
      <c r="K25" s="37"/>
      <c r="M25" s="6">
        <v>6</v>
      </c>
      <c r="N25" s="2">
        <f t="shared" si="0"/>
        <v>46331</v>
      </c>
    </row>
    <row r="26" spans="1:14" ht="30" customHeight="1" x14ac:dyDescent="0.3">
      <c r="A26" s="19" t="s">
        <v>37</v>
      </c>
      <c r="B26" s="247" t="str">
        <f>IF($J$7='시료채취 작성'!F27,'시료채취 작성'!D27,"")</f>
        <v>1028-GSP-#A-30-M-1</v>
      </c>
      <c r="C26" s="247" t="str">
        <f>IF($J$7='시료채취 작성'!$F27,'시료채취 작성'!E27,"")</f>
        <v>입자샘플러4</v>
      </c>
      <c r="D26" s="248">
        <f>IF($J$7='시료채취 작성'!$F27,'시료채취 작성'!G27,"")</f>
        <v>0.4777777777777778</v>
      </c>
      <c r="E26" s="248">
        <f>IF($J$7='시료채취 작성'!$F27,'시료채취 작성'!H27,"")</f>
        <v>0.53333333333333333</v>
      </c>
      <c r="F26" s="247">
        <f>IF($J$7='시료채취 작성'!$F27,'시료채취 작성'!I27,"")</f>
        <v>6783.07</v>
      </c>
      <c r="G26" s="247">
        <f>IF($J$7='시료채취 작성'!$F27,'시료채취 작성'!J27,"")</f>
        <v>7951.86</v>
      </c>
      <c r="H26" s="8">
        <f>IF($J$7='시료채취 작성'!$F27,'시료채취 작성'!K27,"")</f>
        <v>1165.9849039999999</v>
      </c>
      <c r="I26" s="9"/>
      <c r="J26" s="9"/>
      <c r="K26" s="37"/>
      <c r="M26" s="6">
        <v>6</v>
      </c>
      <c r="N26" s="2">
        <f t="shared" si="0"/>
        <v>46331</v>
      </c>
    </row>
    <row r="27" spans="1:14" ht="30" customHeight="1" x14ac:dyDescent="0.3">
      <c r="A27" s="19" t="s">
        <v>104</v>
      </c>
      <c r="B27" s="247" t="str">
        <f>IF($J$7='시료채취 작성'!F28,'시료채취 작성'!D28,"")</f>
        <v>1028-GSP-#A-30-M-1</v>
      </c>
      <c r="C27" s="247" t="str">
        <f>IF($J$7='시료채취 작성'!$F28,'시료채취 작성'!E28,"")</f>
        <v>입자샘플러4</v>
      </c>
      <c r="D27" s="248">
        <f>IF($J$7='시료채취 작성'!$F28,'시료채취 작성'!G28,"")</f>
        <v>0.4777777777777778</v>
      </c>
      <c r="E27" s="248">
        <f>IF($J$7='시료채취 작성'!$F28,'시료채취 작성'!H28,"")</f>
        <v>0.53333333333333333</v>
      </c>
      <c r="F27" s="247">
        <f>IF($J$7='시료채취 작성'!$F28,'시료채취 작성'!I28,"")</f>
        <v>6783.07</v>
      </c>
      <c r="G27" s="247">
        <f>IF($J$7='시료채취 작성'!$F28,'시료채취 작성'!J28,"")</f>
        <v>7951.86</v>
      </c>
      <c r="H27" s="8">
        <f>IF($J$7='시료채취 작성'!$F28,'시료채취 작성'!K28,"")</f>
        <v>1165.9849039999999</v>
      </c>
      <c r="I27" s="9"/>
      <c r="J27" s="9"/>
      <c r="K27" s="37"/>
      <c r="M27" s="6">
        <v>6</v>
      </c>
      <c r="N27" s="2">
        <f t="shared" si="0"/>
        <v>46331</v>
      </c>
    </row>
    <row r="28" spans="1:14" ht="30" customHeight="1" x14ac:dyDescent="0.3">
      <c r="A28" s="19" t="s">
        <v>38</v>
      </c>
      <c r="B28" s="247" t="str">
        <f>IF($J$7='시료채취 작성'!F29,'시료채취 작성'!D29,"")</f>
        <v>1028-GSP-#A-30-M-1</v>
      </c>
      <c r="C28" s="247" t="str">
        <f>IF($J$7='시료채취 작성'!$F29,'시료채취 작성'!E29,"")</f>
        <v>입자샘플러4</v>
      </c>
      <c r="D28" s="248">
        <f>IF($J$7='시료채취 작성'!$F29,'시료채취 작성'!G29,"")</f>
        <v>0.4777777777777778</v>
      </c>
      <c r="E28" s="248">
        <f>IF($J$7='시료채취 작성'!$F29,'시료채취 작성'!H29,"")</f>
        <v>0.53333333333333333</v>
      </c>
      <c r="F28" s="247">
        <f>IF($J$7='시료채취 작성'!$F29,'시료채취 작성'!I29,"")</f>
        <v>6783.07</v>
      </c>
      <c r="G28" s="247">
        <f>IF($J$7='시료채취 작성'!$F29,'시료채취 작성'!J29,"")</f>
        <v>7951.86</v>
      </c>
      <c r="H28" s="8">
        <f>IF($J$7='시료채취 작성'!$F29,'시료채취 작성'!K29,"")</f>
        <v>1165.9849039999999</v>
      </c>
      <c r="I28" s="9"/>
      <c r="J28" s="9"/>
      <c r="K28" s="37"/>
      <c r="M28" s="6">
        <v>6</v>
      </c>
      <c r="N28" s="2">
        <f t="shared" si="0"/>
        <v>46331</v>
      </c>
    </row>
    <row r="29" spans="1:14" ht="30" customHeight="1" x14ac:dyDescent="0.3">
      <c r="A29" s="19" t="s">
        <v>39</v>
      </c>
      <c r="B29" s="247" t="str">
        <f>IF($J$7='시료채취 작성'!F30,'시료채취 작성'!D30,"")</f>
        <v/>
      </c>
      <c r="C29" s="247" t="str">
        <f>IF($J$7='시료채취 작성'!$F30,'시료채취 작성'!E30,"")</f>
        <v/>
      </c>
      <c r="D29" s="248" t="str">
        <f>IF($J$7='시료채취 작성'!$F30,'시료채취 작성'!G30,"")</f>
        <v/>
      </c>
      <c r="E29" s="248" t="str">
        <f>IF($J$7='시료채취 작성'!$F30,'시료채취 작성'!H30,"")</f>
        <v/>
      </c>
      <c r="F29" s="247" t="str">
        <f>IF($J$7='시료채취 작성'!$F30,'시료채취 작성'!I30,"")</f>
        <v/>
      </c>
      <c r="G29" s="247" t="str">
        <f>IF($J$7='시료채취 작성'!$F30,'시료채취 작성'!J30,"")</f>
        <v/>
      </c>
      <c r="H29" s="8" t="str">
        <f>IF($J$7='시료채취 작성'!$F30,'시료채취 작성'!K30,"")</f>
        <v/>
      </c>
      <c r="I29" s="9"/>
      <c r="J29" s="9"/>
      <c r="K29" s="37"/>
      <c r="M29" s="6">
        <v>6</v>
      </c>
      <c r="N29" s="2" t="str">
        <f t="shared" si="0"/>
        <v/>
      </c>
    </row>
    <row r="30" spans="1:14" ht="30" customHeight="1" x14ac:dyDescent="0.3">
      <c r="A30" s="19" t="s">
        <v>139</v>
      </c>
      <c r="B30" s="247" t="str">
        <f>IF($J$7='시료채취 작성'!F31,'시료채취 작성'!D31,"")</f>
        <v/>
      </c>
      <c r="C30" s="247" t="str">
        <f>IF($J$7='시료채취 작성'!$F31,'시료채취 작성'!E31,"")</f>
        <v/>
      </c>
      <c r="D30" s="248" t="str">
        <f>IF($J$7='시료채취 작성'!$F31,'시료채취 작성'!G31,"")</f>
        <v/>
      </c>
      <c r="E30" s="248" t="str">
        <f>IF($J$7='시료채취 작성'!$F31,'시료채취 작성'!H31,"")</f>
        <v/>
      </c>
      <c r="F30" s="247" t="str">
        <f>IF($J$7='시료채취 작성'!$F31,'시료채취 작성'!I31,"")</f>
        <v/>
      </c>
      <c r="G30" s="247" t="str">
        <f>IF($J$7='시료채취 작성'!$F31,'시료채취 작성'!J31,"")</f>
        <v/>
      </c>
      <c r="H30" s="8" t="str">
        <f>IF($J$7='시료채취 작성'!$F31,'시료채취 작성'!K31,"")</f>
        <v/>
      </c>
      <c r="I30" s="9"/>
      <c r="J30" s="9"/>
      <c r="K30" s="37"/>
      <c r="M30" s="6"/>
      <c r="N30" s="2"/>
    </row>
    <row r="31" spans="1:14" ht="30" customHeight="1" x14ac:dyDescent="0.3">
      <c r="A31" s="20" t="s">
        <v>40</v>
      </c>
      <c r="B31" s="247" t="str">
        <f>IF($J$7='시료채취 작성'!F32,'시료채취 작성'!D32,"")</f>
        <v>1028-GSP-#A-30-M-1</v>
      </c>
      <c r="C31" s="247" t="str">
        <f>IF($J$7='시료채취 작성'!$F32,'시료채취 작성'!E32,"")</f>
        <v>입자샘플러4</v>
      </c>
      <c r="D31" s="248">
        <f>IF($J$7='시료채취 작성'!$F32,'시료채취 작성'!G32,"")</f>
        <v>0.4777777777777778</v>
      </c>
      <c r="E31" s="248">
        <f>IF($J$7='시료채취 작성'!$F32,'시료채취 작성'!H32,"")</f>
        <v>0.53333333333333333</v>
      </c>
      <c r="F31" s="247">
        <f>IF($J$7='시료채취 작성'!$F32,'시료채취 작성'!I32,"")</f>
        <v>6783.07</v>
      </c>
      <c r="G31" s="247">
        <f>IF($J$7='시료채취 작성'!$F32,'시료채취 작성'!J32,"")</f>
        <v>7951.86</v>
      </c>
      <c r="H31" s="8">
        <f>IF($J$7='시료채취 작성'!$F32,'시료채취 작성'!K32,"")</f>
        <v>1165.9849039999999</v>
      </c>
      <c r="I31" s="9"/>
      <c r="J31" s="9"/>
      <c r="K31" s="37"/>
      <c r="M31" s="6">
        <v>9</v>
      </c>
      <c r="N31" s="2">
        <f t="shared" si="0"/>
        <v>46336</v>
      </c>
    </row>
    <row r="32" spans="1:14" ht="30" customHeight="1" x14ac:dyDescent="0.3">
      <c r="A32" s="20" t="s">
        <v>86</v>
      </c>
      <c r="B32" s="247" t="str">
        <f>IF($J$7='시료채취 작성'!F33,'시료채취 작성'!D33,"")</f>
        <v>1028-GSP-#A-30-As-G-1</v>
      </c>
      <c r="C32" s="247" t="str">
        <f>IF($J$7='시료채취 작성'!$F33,'시료채취 작성'!E33,"")</f>
        <v>입자샘플러4</v>
      </c>
      <c r="D32" s="248">
        <f>IF($J$7='시료채취 작성'!$F33,'시료채취 작성'!G33,"")</f>
        <v>0.4777777777777778</v>
      </c>
      <c r="E32" s="248">
        <f>IF($J$7='시료채취 작성'!$F33,'시료채취 작성'!H33,"")</f>
        <v>0.53333333333333333</v>
      </c>
      <c r="F32" s="247">
        <f>IF($J$7='시료채취 작성'!$F33,'시료채취 작성'!I33,"")</f>
        <v>6783.07</v>
      </c>
      <c r="G32" s="247">
        <f>IF($J$7='시료채취 작성'!$F33,'시료채취 작성'!J33,"")</f>
        <v>7951.86</v>
      </c>
      <c r="H32" s="8">
        <f>IF($J$7='시료채취 작성'!$F33,'시료채취 작성'!K33,"")</f>
        <v>1165.9849039999999</v>
      </c>
      <c r="I32" s="252"/>
      <c r="J32" s="252"/>
      <c r="K32" s="253"/>
      <c r="M32" s="6">
        <v>9</v>
      </c>
      <c r="N32" s="2">
        <f t="shared" si="0"/>
        <v>46336</v>
      </c>
    </row>
    <row r="33" spans="1:14" ht="33.75" thickBot="1" x14ac:dyDescent="0.35">
      <c r="A33" s="21" t="s">
        <v>87</v>
      </c>
      <c r="B33" s="17" t="str">
        <f>IF($J$7='시료채취 작성'!F34,'시료채취 작성'!D34,"")</f>
        <v/>
      </c>
      <c r="C33" s="17" t="str">
        <f>IF($J$7='시료채취 작성'!$F34,'시료채취 작성'!E34,"")</f>
        <v/>
      </c>
      <c r="D33" s="36" t="str">
        <f>IF($J$7='시료채취 작성'!$F34,'시료채취 작성'!G34,"")</f>
        <v/>
      </c>
      <c r="E33" s="36" t="str">
        <f>IF($J$7='시료채취 작성'!$F34,'시료채취 작성'!H34,"")</f>
        <v/>
      </c>
      <c r="F33" s="17" t="str">
        <f>IF($J$7='시료채취 작성'!$F34,'시료채취 작성'!I34,"")</f>
        <v/>
      </c>
      <c r="G33" s="17" t="str">
        <f>IF($J$7='시료채취 작성'!$F34,'시료채취 작성'!J34,"")</f>
        <v/>
      </c>
      <c r="H33" s="69" t="str">
        <f>IF($J$7='시료채취 작성'!$F34,'시료채취 작성'!K34,"")</f>
        <v/>
      </c>
      <c r="I33" s="40"/>
      <c r="J33" s="40"/>
      <c r="K33" s="44"/>
      <c r="M33" s="53">
        <v>9</v>
      </c>
      <c r="N33" s="54" t="str">
        <f t="shared" si="0"/>
        <v/>
      </c>
    </row>
    <row r="34" spans="1:14" ht="30" customHeight="1" x14ac:dyDescent="0.3">
      <c r="A34" s="24" t="s">
        <v>96</v>
      </c>
      <c r="B34" s="26" t="str">
        <f>IF($J$7='시료채취 작성'!F35,'시료채취 작성'!D35,"")</f>
        <v/>
      </c>
      <c r="C34" s="26" t="str">
        <f>IF($J$7='시료채취 작성'!$F35,'시료채취 작성'!E35,"")</f>
        <v/>
      </c>
      <c r="D34" s="35" t="str">
        <f>IF($J$7='시료채취 작성'!$F35,'시료채취 작성'!G35,"")</f>
        <v/>
      </c>
      <c r="E34" s="35" t="str">
        <f>IF($J$7='시료채취 작성'!$F35,'시료채취 작성'!H35,"")</f>
        <v/>
      </c>
      <c r="F34" s="68" t="str">
        <f>IF($J$7='시료채취 작성'!$F35,'시료채취 작성'!I35,"")</f>
        <v/>
      </c>
      <c r="G34" s="68" t="str">
        <f>IF($J$7='시료채취 작성'!$F35,'시료채취 작성'!J35,"")</f>
        <v/>
      </c>
      <c r="H34" s="68" t="str">
        <f>IF($J$7='시료채취 작성'!$F35,'시료채취 작성'!K35,"")</f>
        <v/>
      </c>
      <c r="I34" s="26" t="str">
        <f>IF($J$7='시료채취 작성'!$F35,'시료채취 작성'!L35,"")</f>
        <v/>
      </c>
      <c r="J34" s="26" t="str">
        <f>IF($J$7='시료채취 작성'!$F35,'시료채취 작성'!M35,"")</f>
        <v/>
      </c>
      <c r="K34" s="59" t="str">
        <f>IF($J$7='시료채취 작성'!$F35,'시료채취 작성'!N35,"")</f>
        <v/>
      </c>
      <c r="M34" s="256">
        <v>7</v>
      </c>
      <c r="N34" s="32" t="str">
        <f t="shared" si="0"/>
        <v/>
      </c>
    </row>
    <row r="35" spans="1:14" ht="30" customHeight="1" x14ac:dyDescent="0.3">
      <c r="A35" s="14" t="s">
        <v>97</v>
      </c>
      <c r="B35" s="247" t="str">
        <f>IF($J$7='시료채취 작성'!F36,'시료채취 작성'!D36,"")</f>
        <v/>
      </c>
      <c r="C35" s="247" t="str">
        <f>IF($J$7='시료채취 작성'!$F36,'시료채취 작성'!E36,"")</f>
        <v/>
      </c>
      <c r="D35" s="248" t="str">
        <f>IF($J$7='시료채취 작성'!$F36,'시료채취 작성'!G36,"")</f>
        <v/>
      </c>
      <c r="E35" s="248" t="str">
        <f>IF($J$7='시료채취 작성'!$F36,'시료채취 작성'!H36,"")</f>
        <v/>
      </c>
      <c r="F35" s="46" t="str">
        <f>IF($J$7='시료채취 작성'!$F36,'시료채취 작성'!I36,"")</f>
        <v/>
      </c>
      <c r="G35" s="46" t="str">
        <f>IF($J$7='시료채취 작성'!$F36,'시료채취 작성'!J36,"")</f>
        <v/>
      </c>
      <c r="H35" s="46" t="str">
        <f>IF($J$7='시료채취 작성'!$F36,'시료채취 작성'!K36,"")</f>
        <v/>
      </c>
      <c r="I35" s="247" t="str">
        <f>IF($J$7='시료채취 작성'!$F36,'시료채취 작성'!L36,"")</f>
        <v/>
      </c>
      <c r="J35" s="247" t="str">
        <f>IF($J$7='시료채취 작성'!$F36,'시료채취 작성'!M36,"")</f>
        <v/>
      </c>
      <c r="K35" s="15" t="str">
        <f>IF($J$7='시료채취 작성'!$F36,'시료채취 작성'!N36,"")</f>
        <v/>
      </c>
      <c r="M35" s="1"/>
      <c r="N35" s="2" t="str">
        <f t="shared" si="0"/>
        <v/>
      </c>
    </row>
    <row r="36" spans="1:14" ht="30" customHeight="1" x14ac:dyDescent="0.3">
      <c r="A36" s="14" t="s">
        <v>98</v>
      </c>
      <c r="B36" s="247" t="str">
        <f>IF($J$7='시료채취 작성'!F37,'시료채취 작성'!D37,"")</f>
        <v/>
      </c>
      <c r="C36" s="247" t="str">
        <f>IF($J$7='시료채취 작성'!$F37,'시료채취 작성'!E37,"")</f>
        <v/>
      </c>
      <c r="D36" s="248" t="str">
        <f>IF($J$7='시료채취 작성'!$F37,'시료채취 작성'!G37,"")</f>
        <v/>
      </c>
      <c r="E36" s="248" t="str">
        <f>IF($J$7='시료채취 작성'!$F37,'시료채취 작성'!H37,"")</f>
        <v/>
      </c>
      <c r="F36" s="46" t="str">
        <f>IF($J$7='시료채취 작성'!$F37,'시료채취 작성'!I37,"")</f>
        <v/>
      </c>
      <c r="G36" s="46" t="str">
        <f>IF($J$7='시료채취 작성'!$F37,'시료채취 작성'!J37,"")</f>
        <v/>
      </c>
      <c r="H36" s="46" t="str">
        <f>IF($J$7='시료채취 작성'!$F37,'시료채취 작성'!K37,"")</f>
        <v/>
      </c>
      <c r="I36" s="247" t="str">
        <f>IF($J$7='시료채취 작성'!$F37,'시료채취 작성'!L37,"")</f>
        <v/>
      </c>
      <c r="J36" s="247" t="str">
        <f>IF($J$7='시료채취 작성'!$F37,'시료채취 작성'!M37,"")</f>
        <v/>
      </c>
      <c r="K36" s="15" t="str">
        <f>IF($J$7='시료채취 작성'!$F37,'시료채취 작성'!N37,"")</f>
        <v/>
      </c>
      <c r="M36" s="1"/>
      <c r="N36" s="2" t="str">
        <f t="shared" si="0"/>
        <v/>
      </c>
    </row>
    <row r="37" spans="1:14" ht="30" customHeight="1" x14ac:dyDescent="0.3">
      <c r="A37" s="14" t="s">
        <v>82</v>
      </c>
      <c r="B37" s="247" t="str">
        <f>IF($J$7='시료채취 작성'!F38,'시료채취 작성'!D38,"")</f>
        <v/>
      </c>
      <c r="C37" s="247" t="str">
        <f>IF($J$7='시료채취 작성'!$F38,'시료채취 작성'!E38,"")</f>
        <v/>
      </c>
      <c r="D37" s="248" t="str">
        <f>IF($J$7='시료채취 작성'!$F38,'시료채취 작성'!G38,"")</f>
        <v/>
      </c>
      <c r="E37" s="248" t="str">
        <f>IF($J$7='시료채취 작성'!$F38,'시료채취 작성'!H38,"")</f>
        <v/>
      </c>
      <c r="F37" s="247" t="str">
        <f>IF($J$7='시료채취 작성'!$F38,'시료채취 작성'!I38,"")</f>
        <v/>
      </c>
      <c r="G37" s="247" t="str">
        <f>IF($J$7='시료채취 작성'!$F38,'시료채취 작성'!J38,"")</f>
        <v/>
      </c>
      <c r="H37" s="247" t="str">
        <f>IF($J$7='시료채취 작성'!$F38,'시료채취 작성'!K38,"")</f>
        <v/>
      </c>
      <c r="I37" s="247" t="str">
        <f>IF($J$7='시료채취 작성'!$F38,'시료채취 작성'!L38,"")</f>
        <v/>
      </c>
      <c r="J37" s="247" t="str">
        <f>IF($J$7='시료채취 작성'!$F38,'시료채취 작성'!M38,"")</f>
        <v/>
      </c>
      <c r="K37" s="15" t="str">
        <f>IF($J$7='시료채취 작성'!$F38,'시료채취 작성'!N38,"")</f>
        <v/>
      </c>
      <c r="M37" s="6">
        <v>4</v>
      </c>
      <c r="N37" s="2" t="str">
        <f t="shared" si="0"/>
        <v/>
      </c>
    </row>
    <row r="38" spans="1:14" ht="30" customHeight="1" x14ac:dyDescent="0.3">
      <c r="A38" s="14" t="s">
        <v>105</v>
      </c>
      <c r="B38" s="247" t="str">
        <f>IF($J$7='시료채취 작성'!F39,'시료채취 작성'!D39,"")</f>
        <v/>
      </c>
      <c r="C38" s="247" t="str">
        <f>IF($J$7='시료채취 작성'!$F39,'시료채취 작성'!E39,"")</f>
        <v/>
      </c>
      <c r="D38" s="248" t="str">
        <f>IF($J$7='시료채취 작성'!$F39,'시료채취 작성'!G39,"")</f>
        <v/>
      </c>
      <c r="E38" s="248" t="str">
        <f>IF($J$7='시료채취 작성'!$F39,'시료채취 작성'!H39,"")</f>
        <v/>
      </c>
      <c r="F38" s="247" t="str">
        <f>IF($J$7='시료채취 작성'!$F39,'시료채취 작성'!I39,"")</f>
        <v/>
      </c>
      <c r="G38" s="247" t="str">
        <f>IF($J$7='시료채취 작성'!$F39,'시료채취 작성'!J39,"")</f>
        <v/>
      </c>
      <c r="H38" s="247" t="str">
        <f>IF($J$7='시료채취 작성'!$F39,'시료채취 작성'!K39,"")</f>
        <v/>
      </c>
      <c r="I38" s="247" t="str">
        <f>IF($J$7='시료채취 작성'!$F39,'시료채취 작성'!L39,"")</f>
        <v/>
      </c>
      <c r="J38" s="247" t="str">
        <f>IF($J$7='시료채취 작성'!$F39,'시료채취 작성'!M39,"")</f>
        <v/>
      </c>
      <c r="K38" s="15" t="str">
        <f>IF($J$7='시료채취 작성'!$F39,'시료채취 작성'!N39,"")</f>
        <v/>
      </c>
      <c r="M38" s="6">
        <v>4</v>
      </c>
      <c r="N38" s="2" t="str">
        <f t="shared" si="0"/>
        <v/>
      </c>
    </row>
    <row r="39" spans="1:14" ht="30" customHeight="1" x14ac:dyDescent="0.3">
      <c r="A39" s="14" t="s">
        <v>47</v>
      </c>
      <c r="B39" s="247" t="str">
        <f>IF($J$7='시료채취 작성'!F40,'시료채취 작성'!D40,"")</f>
        <v/>
      </c>
      <c r="C39" s="247" t="str">
        <f>IF($J$7='시료채취 작성'!$F40,'시료채취 작성'!E40,"")</f>
        <v/>
      </c>
      <c r="D39" s="248" t="str">
        <f>IF($J$7='시료채취 작성'!$F40,'시료채취 작성'!G40,"")</f>
        <v/>
      </c>
      <c r="E39" s="248" t="str">
        <f>IF($J$7='시료채취 작성'!$F40,'시료채취 작성'!H40,"")</f>
        <v/>
      </c>
      <c r="F39" s="9"/>
      <c r="G39" s="9"/>
      <c r="H39" s="9"/>
      <c r="I39" s="9"/>
      <c r="J39" s="9"/>
      <c r="K39" s="16"/>
      <c r="M39" s="6" t="s">
        <v>80</v>
      </c>
      <c r="N39" s="2" t="str">
        <f t="shared" si="0"/>
        <v/>
      </c>
    </row>
    <row r="40" spans="1:14" ht="30" customHeight="1" x14ac:dyDescent="0.3">
      <c r="A40" s="14" t="s">
        <v>81</v>
      </c>
      <c r="B40" s="247" t="str">
        <f>IF($J$7='시료채취 작성'!F41,'시료채취 작성'!D41,"")</f>
        <v/>
      </c>
      <c r="C40" s="247" t="str">
        <f>IF($J$7='시료채취 작성'!$F41,'시료채취 작성'!E42,"")</f>
        <v/>
      </c>
      <c r="D40" s="248" t="str">
        <f>IF($J$7='시료채취 작성'!$F41,'시료채취 작성'!G41,"")</f>
        <v/>
      </c>
      <c r="E40" s="248" t="str">
        <f>IF($J$7='시료채취 작성'!$F41,'시료채취 작성'!H41,"")</f>
        <v/>
      </c>
      <c r="F40" s="247" t="str">
        <f>IF($J$7='시료채취 작성'!$F41,'시료채취 작성'!I41,"")</f>
        <v/>
      </c>
      <c r="G40" s="247" t="str">
        <f>IF($J$7='시료채취 작성'!$F41,'시료채취 작성'!J41,"")</f>
        <v/>
      </c>
      <c r="H40" s="247" t="str">
        <f>IF($J$7='시료채취 작성'!$F41,'시료채취 작성'!K41,"")</f>
        <v/>
      </c>
      <c r="I40" s="9"/>
      <c r="J40" s="9"/>
      <c r="K40" s="16"/>
      <c r="M40" s="6">
        <v>9</v>
      </c>
      <c r="N40" s="2" t="str">
        <f t="shared" si="0"/>
        <v/>
      </c>
    </row>
    <row r="41" spans="1:14" ht="30" customHeight="1" x14ac:dyDescent="0.3">
      <c r="A41" s="14" t="s">
        <v>59</v>
      </c>
      <c r="B41" s="247" t="str">
        <f>IF($J$7='시료채취 작성'!F42,'시료채취 작성'!D42,"")</f>
        <v/>
      </c>
      <c r="C41" s="247" t="str">
        <f>IF($J$7='시료채취 작성'!$F42,'시료채취 작성'!#REF!,"")</f>
        <v/>
      </c>
      <c r="D41" s="248" t="str">
        <f>IF($J$7='시료채취 작성'!$F42,'시료채취 작성'!G42,"")</f>
        <v/>
      </c>
      <c r="E41" s="248" t="str">
        <f>IF($J$7='시료채취 작성'!$F42,'시료채취 작성'!H42,"")</f>
        <v/>
      </c>
      <c r="F41" s="247" t="str">
        <f>IF($J$7='시료채취 작성'!$F42,'시료채취 작성'!I42,"")</f>
        <v/>
      </c>
      <c r="G41" s="247" t="str">
        <f>IF($J$7='시료채취 작성'!$F42,'시료채취 작성'!J42,"")</f>
        <v/>
      </c>
      <c r="H41" s="247" t="str">
        <f>IF($J$7='시료채취 작성'!$F42,'시료채취 작성'!K42,"")</f>
        <v/>
      </c>
      <c r="I41" s="9"/>
      <c r="J41" s="9"/>
      <c r="K41" s="16"/>
      <c r="M41" s="6">
        <v>9</v>
      </c>
      <c r="N41" s="2" t="str">
        <f t="shared" si="0"/>
        <v/>
      </c>
    </row>
    <row r="42" spans="1:14" ht="30" customHeight="1" x14ac:dyDescent="0.3">
      <c r="A42" s="14" t="s">
        <v>60</v>
      </c>
      <c r="B42" s="247" t="str">
        <f>IF($J$7='시료채취 작성'!F43,'시료채취 작성'!D43,"")</f>
        <v>1028-GSP-#A-30-VOCs-1~3</v>
      </c>
      <c r="C42" s="247" t="str">
        <f>IF($J$7='시료채취 작성'!$F43,'시료채취 작성'!E43,"")</f>
        <v>음압상자1</v>
      </c>
      <c r="D42" s="248">
        <f>IF($J$7='시료채취 작성'!$F43,'시료채취 작성'!G43,"")</f>
        <v>0.47916666666666669</v>
      </c>
      <c r="E42" s="248">
        <f>IF($J$7='시료채취 작성'!$F43,'시료채취 작성'!H43,"")</f>
        <v>0.49652777777777773</v>
      </c>
      <c r="F42" s="247">
        <f>IF($J$7='시료채취 작성'!$F43,'시료채취 작성'!I43,"")</f>
        <v>0</v>
      </c>
      <c r="G42" s="247">
        <f>IF($J$7='시료채취 작성'!$F43,'시료채취 작성'!J43,"")</f>
        <v>9</v>
      </c>
      <c r="H42" s="247">
        <f>IF($J$7='시료채취 작성'!$F43,'시료채취 작성'!K43,"")</f>
        <v>9</v>
      </c>
      <c r="I42" s="9"/>
      <c r="J42" s="9"/>
      <c r="K42" s="16"/>
      <c r="M42" s="6">
        <v>9</v>
      </c>
      <c r="N42" s="2">
        <f t="shared" si="0"/>
        <v>46336</v>
      </c>
    </row>
    <row r="43" spans="1:14" ht="30" customHeight="1" x14ac:dyDescent="0.3">
      <c r="A43" s="14" t="s">
        <v>62</v>
      </c>
      <c r="B43" s="247" t="str">
        <f>IF($J$7='시료채취 작성'!F44,'시료채취 작성'!D44,"")</f>
        <v/>
      </c>
      <c r="C43" s="247" t="str">
        <f>IF($J$7='시료채취 작성'!$F44,'시료채취 작성'!E44,"")</f>
        <v/>
      </c>
      <c r="D43" s="248" t="str">
        <f>IF($J$7='시료채취 작성'!$F44,'시료채취 작성'!G44,"")</f>
        <v/>
      </c>
      <c r="E43" s="248" t="str">
        <f>IF($J$7='시료채취 작성'!$F44,'시료채취 작성'!H44,"")</f>
        <v/>
      </c>
      <c r="F43" s="247" t="str">
        <f>IF($J$7='시료채취 작성'!$F44,'시료채취 작성'!I44,"")</f>
        <v/>
      </c>
      <c r="G43" s="247" t="str">
        <f>IF($J$7='시료채취 작성'!$F44,'시료채취 작성'!J44,"")</f>
        <v/>
      </c>
      <c r="H43" s="247" t="str">
        <f>IF($J$7='시료채취 작성'!$F44,'시료채취 작성'!K44,"")</f>
        <v/>
      </c>
      <c r="I43" s="9"/>
      <c r="J43" s="9"/>
      <c r="K43" s="37"/>
      <c r="M43" s="6">
        <v>9</v>
      </c>
      <c r="N43" s="2" t="str">
        <f t="shared" si="0"/>
        <v/>
      </c>
    </row>
    <row r="44" spans="1:14" ht="30" customHeight="1" x14ac:dyDescent="0.3">
      <c r="A44" s="14" t="s">
        <v>63</v>
      </c>
      <c r="B44" s="247" t="str">
        <f>IF($J$7='시료채취 작성'!F45,'시료채취 작성'!D45,"")</f>
        <v/>
      </c>
      <c r="C44" s="247" t="str">
        <f>IF($J$7='시료채취 작성'!$F45,'시료채취 작성'!E45,"")</f>
        <v/>
      </c>
      <c r="D44" s="248" t="str">
        <f>IF($J$7='시료채취 작성'!$F45,'시료채취 작성'!G45,"")</f>
        <v/>
      </c>
      <c r="E44" s="248" t="str">
        <f>IF($J$7='시료채취 작성'!$F45,'시료채취 작성'!H45,"")</f>
        <v/>
      </c>
      <c r="F44" s="247" t="str">
        <f>IF($J$7='시료채취 작성'!$F45,'시료채취 작성'!I45,"")</f>
        <v/>
      </c>
      <c r="G44" s="247" t="str">
        <f>IF($J$7='시료채취 작성'!$F45,'시료채취 작성'!J45,"")</f>
        <v/>
      </c>
      <c r="H44" s="247" t="str">
        <f>IF($J$7='시료채취 작성'!$F45,'시료채취 작성'!K45,"")</f>
        <v/>
      </c>
      <c r="I44" s="9"/>
      <c r="J44" s="9"/>
      <c r="K44" s="37"/>
      <c r="M44" s="6">
        <v>9</v>
      </c>
      <c r="N44" s="2" t="str">
        <f t="shared" si="0"/>
        <v/>
      </c>
    </row>
    <row r="45" spans="1:14" ht="30" customHeight="1" x14ac:dyDescent="0.3">
      <c r="A45" s="14" t="s">
        <v>61</v>
      </c>
      <c r="B45" s="247" t="str">
        <f>IF($J$7='시료채취 작성'!F46,'시료채취 작성'!D46,"")</f>
        <v/>
      </c>
      <c r="C45" s="247" t="str">
        <f>IF($J$7='시료채취 작성'!$F46,'시료채취 작성'!E46,"")</f>
        <v/>
      </c>
      <c r="D45" s="248" t="str">
        <f>IF($J$7='시료채취 작성'!$F46,'시료채취 작성'!G46,"")</f>
        <v/>
      </c>
      <c r="E45" s="248" t="str">
        <f>IF($J$7='시료채취 작성'!$F46,'시료채취 작성'!H46,"")</f>
        <v/>
      </c>
      <c r="F45" s="247" t="str">
        <f>IF($J$7='시료채취 작성'!$F46,'시료채취 작성'!I46,"")</f>
        <v/>
      </c>
      <c r="G45" s="247" t="str">
        <f>IF($J$7='시료채취 작성'!$F46,'시료채취 작성'!J46,"")</f>
        <v/>
      </c>
      <c r="H45" s="247" t="str">
        <f>IF($J$7='시료채취 작성'!$F46,'시료채취 작성'!K46,"")</f>
        <v/>
      </c>
      <c r="I45" s="9"/>
      <c r="J45" s="9"/>
      <c r="K45" s="16"/>
      <c r="M45" s="6">
        <v>9</v>
      </c>
      <c r="N45" s="2" t="str">
        <f t="shared" si="0"/>
        <v/>
      </c>
    </row>
    <row r="46" spans="1:14" ht="30" customHeight="1" x14ac:dyDescent="0.3">
      <c r="A46" s="14" t="s">
        <v>64</v>
      </c>
      <c r="B46" s="247" t="str">
        <f>IF($J$7='시료채취 작성'!F47,'시료채취 작성'!D47,"")</f>
        <v/>
      </c>
      <c r="C46" s="247" t="str">
        <f>IF($J$7='시료채취 작성'!$F47,'시료채취 작성'!E47,"")</f>
        <v/>
      </c>
      <c r="D46" s="248" t="str">
        <f>IF($J$7='시료채취 작성'!$F47,'시료채취 작성'!G47,"")</f>
        <v/>
      </c>
      <c r="E46" s="248" t="str">
        <f>IF($J$7='시료채취 작성'!$F47,'시료채취 작성'!H47,"")</f>
        <v/>
      </c>
      <c r="F46" s="247" t="str">
        <f>IF($J$7='시료채취 작성'!$F47,'시료채취 작성'!I47,"")</f>
        <v/>
      </c>
      <c r="G46" s="247" t="str">
        <f>IF($J$7='시료채취 작성'!$F47,'시료채취 작성'!J47,"")</f>
        <v/>
      </c>
      <c r="H46" s="247" t="str">
        <f>IF($J$7='시료채취 작성'!$F47,'시료채취 작성'!K47,"")</f>
        <v/>
      </c>
      <c r="I46" s="9"/>
      <c r="J46" s="9"/>
      <c r="K46" s="37"/>
      <c r="M46" s="6">
        <v>9</v>
      </c>
      <c r="N46" s="2" t="str">
        <f t="shared" si="0"/>
        <v/>
      </c>
    </row>
    <row r="47" spans="1:14" ht="30" customHeight="1" x14ac:dyDescent="0.3">
      <c r="A47" s="14" t="s">
        <v>65</v>
      </c>
      <c r="B47" s="247" t="str">
        <f>IF($J$7='시료채취 작성'!F48,'시료채취 작성'!D48,"")</f>
        <v/>
      </c>
      <c r="C47" s="247" t="str">
        <f>IF($J$7='시료채취 작성'!$F48,'시료채취 작성'!E48,"")</f>
        <v/>
      </c>
      <c r="D47" s="248" t="str">
        <f>IF($J$7='시료채취 작성'!$F48,'시료채취 작성'!G48,"")</f>
        <v/>
      </c>
      <c r="E47" s="248" t="str">
        <f>IF($J$7='시료채취 작성'!$F48,'시료채취 작성'!H48,"")</f>
        <v/>
      </c>
      <c r="F47" s="247" t="str">
        <f>IF($J$7='시료채취 작성'!$F48,'시료채취 작성'!I48,"")</f>
        <v/>
      </c>
      <c r="G47" s="247" t="str">
        <f>IF($J$7='시료채취 작성'!$F48,'시료채취 작성'!J48,"")</f>
        <v/>
      </c>
      <c r="H47" s="247" t="str">
        <f>IF($J$7='시료채취 작성'!$F48,'시료채취 작성'!K48,"")</f>
        <v/>
      </c>
      <c r="I47" s="9"/>
      <c r="J47" s="9"/>
      <c r="K47" s="37"/>
      <c r="M47" s="6">
        <v>9</v>
      </c>
      <c r="N47" s="2" t="str">
        <f t="shared" si="0"/>
        <v/>
      </c>
    </row>
    <row r="48" spans="1:14" ht="30" customHeight="1" x14ac:dyDescent="0.3">
      <c r="A48" s="14" t="s">
        <v>66</v>
      </c>
      <c r="B48" s="247" t="str">
        <f>IF($J$7='시료채취 작성'!F49,'시료채취 작성'!D49,"")</f>
        <v/>
      </c>
      <c r="C48" s="247" t="str">
        <f>IF($J$7='시료채취 작성'!$F49,'시료채취 작성'!E49,"")</f>
        <v/>
      </c>
      <c r="D48" s="248" t="str">
        <f>IF($J$7='시료채취 작성'!$F49,'시료채취 작성'!G49,"")</f>
        <v/>
      </c>
      <c r="E48" s="248" t="str">
        <f>IF($J$7='시료채취 작성'!$F49,'시료채취 작성'!H49,"")</f>
        <v/>
      </c>
      <c r="F48" s="247" t="str">
        <f>IF($J$7='시료채취 작성'!$F49,'시료채취 작성'!I49,"")</f>
        <v/>
      </c>
      <c r="G48" s="247" t="str">
        <f>IF($J$7='시료채취 작성'!$F49,'시료채취 작성'!J49,"")</f>
        <v/>
      </c>
      <c r="H48" s="247" t="str">
        <f>IF($J$7='시료채취 작성'!$F49,'시료채취 작성'!K49,"")</f>
        <v/>
      </c>
      <c r="I48" s="9"/>
      <c r="J48" s="9"/>
      <c r="K48" s="37"/>
      <c r="M48" s="6">
        <v>9</v>
      </c>
      <c r="N48" s="2" t="str">
        <f t="shared" si="0"/>
        <v/>
      </c>
    </row>
    <row r="49" spans="1:15" ht="30" customHeight="1" x14ac:dyDescent="0.3">
      <c r="A49" s="14" t="s">
        <v>67</v>
      </c>
      <c r="B49" s="247" t="str">
        <f>IF($J$7='시료채취 작성'!F50,'시료채취 작성'!D50,"")</f>
        <v/>
      </c>
      <c r="C49" s="247" t="str">
        <f>IF($J$7='시료채취 작성'!$F50,'시료채취 작성'!E50,"")</f>
        <v/>
      </c>
      <c r="D49" s="248" t="str">
        <f>IF($J$7='시료채취 작성'!$F50,'시료채취 작성'!G50,"")</f>
        <v/>
      </c>
      <c r="E49" s="248" t="str">
        <f>IF($J$7='시료채취 작성'!$F50,'시료채취 작성'!H50,"")</f>
        <v/>
      </c>
      <c r="F49" s="247" t="str">
        <f>IF($J$7='시료채취 작성'!$F50,'시료채취 작성'!I50,"")</f>
        <v/>
      </c>
      <c r="G49" s="247" t="str">
        <f>IF($J$7='시료채취 작성'!$F50,'시료채취 작성'!J50,"")</f>
        <v/>
      </c>
      <c r="H49" s="247" t="str">
        <f>IF($J$7='시료채취 작성'!$F50,'시료채취 작성'!K50,"")</f>
        <v/>
      </c>
      <c r="I49" s="9"/>
      <c r="J49" s="9"/>
      <c r="K49" s="37"/>
      <c r="M49" s="6">
        <v>9</v>
      </c>
      <c r="N49" s="2" t="str">
        <f t="shared" si="0"/>
        <v/>
      </c>
    </row>
    <row r="50" spans="1:15" ht="30" customHeight="1" x14ac:dyDescent="0.3">
      <c r="A50" s="14" t="s">
        <v>68</v>
      </c>
      <c r="B50" s="247" t="str">
        <f>IF($J$7='시료채취 작성'!F51,'시료채취 작성'!D51,"")</f>
        <v/>
      </c>
      <c r="C50" s="247" t="str">
        <f>IF($J$7='시료채취 작성'!$F51,'시료채취 작성'!E51,"")</f>
        <v/>
      </c>
      <c r="D50" s="248" t="str">
        <f>IF($J$7='시료채취 작성'!$F51,'시료채취 작성'!G51,"")</f>
        <v/>
      </c>
      <c r="E50" s="248" t="str">
        <f>IF($J$7='시료채취 작성'!$F51,'시료채취 작성'!H51,"")</f>
        <v/>
      </c>
      <c r="F50" s="247" t="str">
        <f>IF($J$7='시료채취 작성'!$F51,'시료채취 작성'!I51,"")</f>
        <v/>
      </c>
      <c r="G50" s="247" t="str">
        <f>IF($J$7='시료채취 작성'!$F51,'시료채취 작성'!J51,"")</f>
        <v/>
      </c>
      <c r="H50" s="247" t="str">
        <f>IF($J$7='시료채취 작성'!$F51,'시료채취 작성'!K51,"")</f>
        <v/>
      </c>
      <c r="I50" s="9"/>
      <c r="J50" s="9"/>
      <c r="K50" s="37"/>
      <c r="M50" s="6">
        <v>9</v>
      </c>
      <c r="N50" s="2" t="str">
        <f t="shared" si="0"/>
        <v/>
      </c>
    </row>
    <row r="51" spans="1:15" ht="30" customHeight="1" x14ac:dyDescent="0.3">
      <c r="A51" s="14" t="s">
        <v>69</v>
      </c>
      <c r="B51" s="247" t="str">
        <f>IF($J$7='시료채취 작성'!F52,'시료채취 작성'!D52,"")</f>
        <v/>
      </c>
      <c r="C51" s="247" t="str">
        <f>IF($J$7='시료채취 작성'!$F52,'시료채취 작성'!E52,"")</f>
        <v/>
      </c>
      <c r="D51" s="248" t="str">
        <f>IF($J$7='시료채취 작성'!$F52,'시료채취 작성'!G52,"")</f>
        <v/>
      </c>
      <c r="E51" s="248" t="str">
        <f>IF($J$7='시료채취 작성'!$F52,'시료채취 작성'!H52,"")</f>
        <v/>
      </c>
      <c r="F51" s="247" t="str">
        <f>IF($J$7='시료채취 작성'!$F52,'시료채취 작성'!I52,"")</f>
        <v/>
      </c>
      <c r="G51" s="247" t="str">
        <f>IF($J$7='시료채취 작성'!$F52,'시료채취 작성'!J52,"")</f>
        <v/>
      </c>
      <c r="H51" s="247" t="str">
        <f>IF($J$7='시료채취 작성'!$F52,'시료채취 작성'!K52,"")</f>
        <v/>
      </c>
      <c r="I51" s="9"/>
      <c r="J51" s="9"/>
      <c r="K51" s="37"/>
      <c r="M51" s="6">
        <v>9</v>
      </c>
      <c r="N51" s="2" t="str">
        <f t="shared" si="0"/>
        <v/>
      </c>
    </row>
    <row r="52" spans="1:15" ht="30" customHeight="1" x14ac:dyDescent="0.3">
      <c r="A52" s="38" t="s">
        <v>70</v>
      </c>
      <c r="B52" s="247" t="str">
        <f>IF($J$7='시료채취 작성'!F53,'시료채취 작성'!D53,"")</f>
        <v/>
      </c>
      <c r="C52" s="247" t="str">
        <f>IF($J$7='시료채취 작성'!$F53,'시료채취 작성'!E53,"")</f>
        <v/>
      </c>
      <c r="D52" s="248" t="str">
        <f>IF($J$7='시료채취 작성'!$F53,'시료채취 작성'!G53,"")</f>
        <v/>
      </c>
      <c r="E52" s="248" t="str">
        <f>IF($J$7='시료채취 작성'!$F53,'시료채취 작성'!H53,"")</f>
        <v/>
      </c>
      <c r="F52" s="247" t="str">
        <f>IF($J$7='시료채취 작성'!$F53,'시료채취 작성'!I53,"")</f>
        <v/>
      </c>
      <c r="G52" s="247" t="str">
        <f>IF($J$7='시료채취 작성'!$F53,'시료채취 작성'!J53,"")</f>
        <v/>
      </c>
      <c r="H52" s="247" t="str">
        <f>IF($J$7='시료채취 작성'!$F53,'시료채취 작성'!K53,"")</f>
        <v/>
      </c>
      <c r="I52" s="39"/>
      <c r="J52" s="39"/>
      <c r="K52" s="57"/>
      <c r="M52" s="53"/>
      <c r="N52" s="54"/>
    </row>
    <row r="53" spans="1:15" ht="30" customHeight="1" x14ac:dyDescent="0.3">
      <c r="A53" s="38" t="s">
        <v>148</v>
      </c>
      <c r="B53" s="247" t="str">
        <f>IF($J$7='시료채취 작성'!F54,'시료채취 작성'!D54,"")</f>
        <v/>
      </c>
      <c r="C53" s="247" t="str">
        <f>IF($J$7='시료채취 작성'!$F54,'시료채취 작성'!E54,"")</f>
        <v/>
      </c>
      <c r="D53" s="248" t="str">
        <f>IF($J$7='시료채취 작성'!$F54,'시료채취 작성'!G54,"")</f>
        <v/>
      </c>
      <c r="E53" s="248" t="str">
        <f>IF($J$7='시료채취 작성'!$F54,'시료채취 작성'!H54,"")</f>
        <v/>
      </c>
      <c r="F53" s="247" t="str">
        <f>IF($J$7='시료채취 작성'!$F54,'시료채취 작성'!I54,"")</f>
        <v/>
      </c>
      <c r="G53" s="247" t="str">
        <f>IF($J$7='시료채취 작성'!$F54,'시료채취 작성'!J54,"")</f>
        <v/>
      </c>
      <c r="H53" s="247" t="str">
        <f>IF($J$7='시료채취 작성'!$F54,'시료채취 작성'!K54,"")</f>
        <v/>
      </c>
      <c r="I53" s="39"/>
      <c r="J53" s="39"/>
      <c r="K53" s="57"/>
      <c r="M53" s="53"/>
      <c r="N53" s="54"/>
    </row>
    <row r="54" spans="1:15" ht="30" customHeight="1" x14ac:dyDescent="0.3">
      <c r="A54" s="38" t="s">
        <v>149</v>
      </c>
      <c r="B54" s="247" t="str">
        <f>IF($J$7='시료채취 작성'!F55,'시료채취 작성'!D55,"")</f>
        <v/>
      </c>
      <c r="C54" s="247" t="str">
        <f>IF($J$7='시료채취 작성'!$F55,'시료채취 작성'!E55,"")</f>
        <v/>
      </c>
      <c r="D54" s="248" t="str">
        <f>IF($J$7='시료채취 작성'!$F55,'시료채취 작성'!G55,"")</f>
        <v/>
      </c>
      <c r="E54" s="248" t="str">
        <f>IF($J$7='시료채취 작성'!$F55,'시료채취 작성'!H55,"")</f>
        <v/>
      </c>
      <c r="F54" s="247" t="str">
        <f>IF($J$7='시료채취 작성'!$F55,'시료채취 작성'!I55,"")</f>
        <v/>
      </c>
      <c r="G54" s="247" t="str">
        <f>IF($J$7='시료채취 작성'!$F55,'시료채취 작성'!J55,"")</f>
        <v/>
      </c>
      <c r="H54" s="247" t="str">
        <f>IF($J$7='시료채취 작성'!$F55,'시료채취 작성'!K55,"")</f>
        <v/>
      </c>
      <c r="I54" s="39"/>
      <c r="J54" s="39"/>
      <c r="K54" s="57"/>
      <c r="M54" s="53"/>
      <c r="N54" s="54"/>
    </row>
    <row r="55" spans="1:15" ht="30" customHeight="1" x14ac:dyDescent="0.3">
      <c r="A55" s="38" t="s">
        <v>150</v>
      </c>
      <c r="B55" s="247" t="str">
        <f>IF($J$7='시료채취 작성'!F56,'시료채취 작성'!D56,"")</f>
        <v/>
      </c>
      <c r="C55" s="247" t="str">
        <f>IF($J$7='시료채취 작성'!$F56,'시료채취 작성'!E56,"")</f>
        <v/>
      </c>
      <c r="D55" s="248" t="str">
        <f>IF($J$7='시료채취 작성'!$F56,'시료채취 작성'!G56,"")</f>
        <v/>
      </c>
      <c r="E55" s="248" t="str">
        <f>IF($J$7='시료채취 작성'!$F56,'시료채취 작성'!H56,"")</f>
        <v/>
      </c>
      <c r="F55" s="247" t="str">
        <f>IF($J$7='시료채취 작성'!$F56,'시료채취 작성'!I56,"")</f>
        <v/>
      </c>
      <c r="G55" s="247" t="str">
        <f>IF($J$7='시료채취 작성'!$F56,'시료채취 작성'!J56,"")</f>
        <v/>
      </c>
      <c r="H55" s="247" t="str">
        <f>IF($J$7='시료채취 작성'!$F56,'시료채취 작성'!K56,"")</f>
        <v/>
      </c>
      <c r="I55" s="39"/>
      <c r="J55" s="39"/>
      <c r="K55" s="57"/>
      <c r="M55" s="53"/>
      <c r="N55" s="54"/>
    </row>
    <row r="56" spans="1:15" ht="30" customHeight="1" thickBot="1" x14ac:dyDescent="0.35">
      <c r="A56" s="38" t="s">
        <v>151</v>
      </c>
      <c r="B56" s="247" t="str">
        <f>IF($J$7='시료채취 작성'!F57,'시료채취 작성'!D57,"")</f>
        <v/>
      </c>
      <c r="C56" s="247" t="str">
        <f>IF($J$7='시료채취 작성'!$F57,'시료채취 작성'!E57,"")</f>
        <v/>
      </c>
      <c r="D56" s="248" t="str">
        <f>IF($J$7='시료채취 작성'!$F57,'시료채취 작성'!G57,"")</f>
        <v/>
      </c>
      <c r="E56" s="248" t="str">
        <f>IF($J$7='시료채취 작성'!$F57,'시료채취 작성'!H57,"")</f>
        <v/>
      </c>
      <c r="F56" s="247" t="str">
        <f>IF($J$7='시료채취 작성'!$F57,'시료채취 작성'!I57,"")</f>
        <v/>
      </c>
      <c r="G56" s="247" t="str">
        <f>IF($J$7='시료채취 작성'!$F57,'시료채취 작성'!J57,"")</f>
        <v/>
      </c>
      <c r="H56" s="247" t="str">
        <f>IF($J$7='시료채취 작성'!$F57,'시료채취 작성'!K57,"")</f>
        <v/>
      </c>
      <c r="I56" s="39"/>
      <c r="J56" s="39"/>
      <c r="K56" s="57"/>
      <c r="L56" s="5"/>
      <c r="M56" s="4">
        <v>9</v>
      </c>
      <c r="N56" s="52" t="str">
        <f t="shared" si="0"/>
        <v/>
      </c>
    </row>
    <row r="57" spans="1:15" ht="30" customHeight="1" x14ac:dyDescent="0.3">
      <c r="A57" s="321" t="s">
        <v>73</v>
      </c>
      <c r="B57" s="317">
        <f>J7</f>
        <v>46323</v>
      </c>
      <c r="C57" s="29" t="s">
        <v>74</v>
      </c>
      <c r="D57" s="319" t="s">
        <v>75</v>
      </c>
      <c r="E57" s="320"/>
      <c r="F57" s="319" t="str">
        <f>'시료채취 작성'!F58</f>
        <v>전문위원</v>
      </c>
      <c r="G57" s="320"/>
      <c r="H57" s="319" t="str">
        <f>'시료채취 작성'!H58</f>
        <v>전문위원</v>
      </c>
      <c r="I57" s="320"/>
      <c r="J57" s="319" t="s">
        <v>76</v>
      </c>
      <c r="K57" s="320"/>
      <c r="M57" s="10" t="s">
        <v>92</v>
      </c>
      <c r="N57" s="11">
        <f>MIN(N12:N56)</f>
        <v>46328</v>
      </c>
    </row>
    <row r="58" spans="1:15" ht="38.25" customHeight="1" thickBot="1" x14ac:dyDescent="0.35">
      <c r="A58" s="322"/>
      <c r="B58" s="318"/>
      <c r="C58" s="31" t="s">
        <v>77</v>
      </c>
      <c r="D58" s="42" t="str">
        <f>IF('시료채취 작성'!E59="","",'시료채취 작성'!E59)</f>
        <v>류승훈</v>
      </c>
      <c r="E58" s="43" t="s">
        <v>94</v>
      </c>
      <c r="F58" s="42" t="str">
        <f>IF('시료채취 작성'!F59="","",'시료채취 작성'!F59)</f>
        <v>권준형</v>
      </c>
      <c r="G58" s="43" t="s">
        <v>94</v>
      </c>
      <c r="H58" s="42" t="str">
        <f>IF('시료채취 작성'!G59="","",'시료채취 작성'!G59)</f>
        <v>이상석</v>
      </c>
      <c r="I58" s="43" t="s">
        <v>94</v>
      </c>
      <c r="J58" s="262" t="s">
        <v>179</v>
      </c>
      <c r="K58" s="263" t="s">
        <v>180</v>
      </c>
      <c r="M58" s="12" t="s">
        <v>93</v>
      </c>
      <c r="N58" s="11">
        <f>MAX(N12:N56)</f>
        <v>46336</v>
      </c>
      <c r="O58" s="55" t="s">
        <v>100</v>
      </c>
    </row>
    <row r="59" spans="1:15" ht="18" thickBot="1" x14ac:dyDescent="0.35">
      <c r="A59" s="182"/>
      <c r="B59" s="183"/>
      <c r="C59" s="183"/>
      <c r="D59" s="184"/>
      <c r="E59" s="184"/>
      <c r="F59" s="184"/>
      <c r="G59" s="184"/>
      <c r="H59" s="185"/>
      <c r="I59" s="186"/>
      <c r="J59" s="303" t="s">
        <v>128</v>
      </c>
      <c r="K59" s="304"/>
    </row>
  </sheetData>
  <mergeCells count="27">
    <mergeCell ref="J59:K59"/>
    <mergeCell ref="M10:M11"/>
    <mergeCell ref="N10:N11"/>
    <mergeCell ref="A57:A58"/>
    <mergeCell ref="B57:B58"/>
    <mergeCell ref="D57:E57"/>
    <mergeCell ref="F57:G57"/>
    <mergeCell ref="H57:I57"/>
    <mergeCell ref="J57:K57"/>
    <mergeCell ref="C9:D9"/>
    <mergeCell ref="E9:F9"/>
    <mergeCell ref="G9:H9"/>
    <mergeCell ref="I9:K9"/>
    <mergeCell ref="A10:A11"/>
    <mergeCell ref="B10:B11"/>
    <mergeCell ref="C10:C11"/>
    <mergeCell ref="D10:E10"/>
    <mergeCell ref="F10:H10"/>
    <mergeCell ref="I10:K10"/>
    <mergeCell ref="A2:I6"/>
    <mergeCell ref="J2:K3"/>
    <mergeCell ref="D7:F7"/>
    <mergeCell ref="J7:K7"/>
    <mergeCell ref="C8:D8"/>
    <mergeCell ref="E8:F8"/>
    <mergeCell ref="G8:H8"/>
    <mergeCell ref="I8:K8"/>
  </mergeCells>
  <phoneticPr fontId="1" type="noConversion"/>
  <pageMargins left="0.70866141732283472" right="0.51181102362204722" top="0.47244094488188981" bottom="0.19685039370078741" header="0.23622047244094491" footer="0.11811023622047245"/>
  <pageSetup paperSize="9" scale="45" orientation="portrait" r:id="rId1"/>
  <headerFooter>
    <oddFooter>&amp;R&amp;"+,굵게"&amp;12수도권대기환경청 조사분석과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시료채취 작성</vt:lpstr>
      <vt:lpstr>20261027</vt:lpstr>
      <vt:lpstr>20261028</vt:lpstr>
      <vt:lpstr>'20261027'!Print_Area</vt:lpstr>
      <vt:lpstr>'20261028'!Print_Area</vt:lpstr>
      <vt:lpstr>'시료채취 작성'!Print_Area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MAMO</dc:creator>
  <cp:lastModifiedBy>업무망</cp:lastModifiedBy>
  <cp:lastPrinted>2026-03-10T06:38:03Z</cp:lastPrinted>
  <dcterms:created xsi:type="dcterms:W3CDTF">2021-12-09T06:52:19Z</dcterms:created>
  <dcterms:modified xsi:type="dcterms:W3CDTF">2026-10-29T08:02:33Z</dcterms:modified>
</cp:coreProperties>
</file>